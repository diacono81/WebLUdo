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7BC2B67E-B79F-4A60-99BE-910AC227046C}" xr6:coauthVersionLast="47" xr6:coauthVersionMax="47" xr10:uidLastSave="{00000000-0000-0000-0000-000000000000}"/>
  <bookViews>
    <workbookView xWindow="1605" yWindow="2430" windowWidth="21600" windowHeight="11235" activeTab="4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7" i="6"/>
  <c r="K6" i="6"/>
  <c r="K8" i="6"/>
  <c r="K9" i="6"/>
  <c r="K5" i="6"/>
</calcChain>
</file>

<file path=xl/sharedStrings.xml><?xml version="1.0" encoding="utf-8"?>
<sst xmlns="http://schemas.openxmlformats.org/spreadsheetml/2006/main" count="227" uniqueCount="55">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</sst>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topLeftCell="A9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6"/>
      <c r="C4" s="26"/>
      <c r="D4" s="26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28.5</v>
      </c>
    </row>
    <row r="8" spans="1:4" ht="16.5" x14ac:dyDescent="0.25">
      <c r="B8" s="16" t="s">
        <v>25</v>
      </c>
      <c r="C8" s="10" t="s">
        <v>27</v>
      </c>
      <c r="D8" s="10">
        <v>26</v>
      </c>
    </row>
    <row r="9" spans="1:4" ht="16.5" x14ac:dyDescent="0.25">
      <c r="B9" s="16" t="s">
        <v>26</v>
      </c>
      <c r="C9" s="17" t="s">
        <v>30</v>
      </c>
      <c r="D9" s="10">
        <v>18</v>
      </c>
    </row>
    <row r="10" spans="1:4" ht="16.5" x14ac:dyDescent="0.25">
      <c r="B10" s="16" t="s">
        <v>54</v>
      </c>
      <c r="C10" s="10" t="s">
        <v>31</v>
      </c>
      <c r="D10" s="10">
        <v>14</v>
      </c>
    </row>
    <row r="11" spans="1:4" ht="16.5" x14ac:dyDescent="0.25">
      <c r="B11" s="18">
        <v>5</v>
      </c>
      <c r="C11" s="10" t="s">
        <v>35</v>
      </c>
      <c r="D11" s="10">
        <v>3.5</v>
      </c>
    </row>
    <row r="12" spans="1:4" ht="16.5" x14ac:dyDescent="0.25">
      <c r="B12" s="18">
        <v>6</v>
      </c>
      <c r="C12" s="10" t="s">
        <v>32</v>
      </c>
      <c r="D12" s="10">
        <v>0</v>
      </c>
    </row>
    <row r="13" spans="1:4" ht="16.5" x14ac:dyDescent="0.25">
      <c r="B13" s="18">
        <v>6</v>
      </c>
      <c r="C13" s="10" t="s">
        <v>36</v>
      </c>
      <c r="D13" s="10">
        <v>0</v>
      </c>
    </row>
    <row r="14" spans="1:4" ht="16.5" x14ac:dyDescent="0.25">
      <c r="B14" s="18">
        <v>6</v>
      </c>
      <c r="C14" s="10" t="s">
        <v>3</v>
      </c>
      <c r="D14" s="10">
        <f>Andrés</f>
        <v>0</v>
      </c>
    </row>
    <row r="15" spans="1:4" ht="16.5" x14ac:dyDescent="0.25">
      <c r="B15" s="18">
        <v>6</v>
      </c>
      <c r="C15" s="10" t="s">
        <v>29</v>
      </c>
      <c r="D15" s="10">
        <f>Yeni</f>
        <v>0</v>
      </c>
    </row>
    <row r="16" spans="1:4" ht="16.5" x14ac:dyDescent="0.25">
      <c r="B16" s="18">
        <v>6</v>
      </c>
      <c r="C16" s="10" t="s">
        <v>34</v>
      </c>
      <c r="D16" s="10">
        <f>Chalo</f>
        <v>0</v>
      </c>
    </row>
    <row r="17" spans="2:4" ht="16.5" x14ac:dyDescent="0.25">
      <c r="B17" s="19">
        <v>6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28.5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27</v>
      </c>
      <c r="C11" s="12" t="s">
        <v>16</v>
      </c>
    </row>
    <row r="12" spans="1:3" x14ac:dyDescent="0.25">
      <c r="A12" s="12" t="s">
        <v>17</v>
      </c>
      <c r="B12" s="12">
        <v>26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30</v>
      </c>
      <c r="C17" s="12" t="s">
        <v>16</v>
      </c>
    </row>
    <row r="18" spans="1:3" x14ac:dyDescent="0.25">
      <c r="A18" s="12" t="s">
        <v>17</v>
      </c>
      <c r="B18" s="12">
        <v>18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 t="s">
        <v>54</v>
      </c>
      <c r="C22" s="12" t="s">
        <v>16</v>
      </c>
    </row>
    <row r="23" spans="1:3" x14ac:dyDescent="0.25">
      <c r="A23" s="12" t="s">
        <v>17</v>
      </c>
      <c r="B23" s="11" t="s">
        <v>31</v>
      </c>
      <c r="C23" s="12" t="s">
        <v>16</v>
      </c>
    </row>
    <row r="24" spans="1:3" x14ac:dyDescent="0.25">
      <c r="A24" s="12" t="s">
        <v>17</v>
      </c>
      <c r="B24" s="12">
        <v>14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3.5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0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6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6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6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6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6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tabSelected="1" topLeftCell="A12" workbookViewId="0">
      <selection activeCell="H10" sqref="H10"/>
    </sheetView>
  </sheetViews>
  <sheetFormatPr baseColWidth="10" defaultRowHeight="15" x14ac:dyDescent="0.25"/>
  <cols>
    <col min="3" max="3" width="33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45597</v>
      </c>
      <c r="D4" s="11" t="s">
        <v>46</v>
      </c>
      <c r="E4" s="11" t="s">
        <v>45</v>
      </c>
      <c r="F4" s="11" t="s">
        <v>0</v>
      </c>
      <c r="G4" s="2" t="s">
        <v>38</v>
      </c>
      <c r="J4" s="11" t="s">
        <v>52</v>
      </c>
      <c r="K4" t="s">
        <v>53</v>
      </c>
    </row>
    <row r="5" spans="3:11" x14ac:dyDescent="0.25">
      <c r="C5" s="23">
        <v>45597</v>
      </c>
      <c r="D5" s="11" t="s">
        <v>45</v>
      </c>
      <c r="E5" s="11" t="s">
        <v>37</v>
      </c>
      <c r="F5" s="11" t="s">
        <v>0</v>
      </c>
      <c r="G5" s="2" t="s">
        <v>38</v>
      </c>
      <c r="J5" s="11" t="s">
        <v>0</v>
      </c>
      <c r="K5">
        <f>COUNTIF(Primero,"=Ely")*3+COUNTIF(Segundo,"=Ely")*2+COUNTIF(Tercero,"=Ely")*1+COUNTIF(Cuarto,"=Ely")*0.5</f>
        <v>28.5</v>
      </c>
    </row>
    <row r="6" spans="3:11" x14ac:dyDescent="0.25">
      <c r="C6" s="23">
        <v>45598</v>
      </c>
      <c r="D6" s="11" t="s">
        <v>0</v>
      </c>
      <c r="E6" s="11" t="s">
        <v>46</v>
      </c>
      <c r="F6" s="11" t="s">
        <v>38</v>
      </c>
      <c r="G6" s="2" t="s">
        <v>45</v>
      </c>
      <c r="J6" s="11" t="s">
        <v>46</v>
      </c>
      <c r="K6">
        <f>COUNTIF(Primero,"=Líder")*3+COUNTIF(Segundo,"=Líder")*2+COUNTIF(Tercero,"=Líder")*1+COUNTIF(Cuarto,"=Líder")*0.5</f>
        <v>26</v>
      </c>
    </row>
    <row r="7" spans="3:11" x14ac:dyDescent="0.25">
      <c r="C7" s="23">
        <v>45598</v>
      </c>
      <c r="D7" s="11" t="s">
        <v>46</v>
      </c>
      <c r="E7" s="11" t="s">
        <v>0</v>
      </c>
      <c r="F7" s="11" t="s">
        <v>45</v>
      </c>
      <c r="G7" s="2" t="s">
        <v>38</v>
      </c>
      <c r="J7" s="11" t="s">
        <v>45</v>
      </c>
      <c r="K7">
        <f>COUNTIF(Primero,"=Carlos")*3+COUNTIF(Segundo,"=Carlos")*2+COUNTIF(Tercero,"=Carlos")*1+COUNTIF(Cuarto,"=Carlos")*0.5</f>
        <v>18</v>
      </c>
    </row>
    <row r="8" spans="3:11" x14ac:dyDescent="0.25">
      <c r="C8" s="23">
        <v>45599</v>
      </c>
      <c r="D8" s="11" t="s">
        <v>46</v>
      </c>
      <c r="E8" s="11" t="s">
        <v>0</v>
      </c>
      <c r="F8" s="11" t="s">
        <v>37</v>
      </c>
      <c r="G8" s="2" t="s">
        <v>45</v>
      </c>
      <c r="J8" s="11" t="s">
        <v>38</v>
      </c>
      <c r="K8">
        <f>COUNTIF(Primero,"=Oscar")*3+COUNTIF(Segundo,"=Oscar")*2+COUNTIF(Tercero,"=Oscar")*1+COUNTIF(Cuarto,"=Oscar")*0.5</f>
        <v>14</v>
      </c>
    </row>
    <row r="9" spans="3:11" x14ac:dyDescent="0.25">
      <c r="C9" s="23">
        <v>45599</v>
      </c>
      <c r="D9" s="11" t="s">
        <v>0</v>
      </c>
      <c r="E9" s="11" t="s">
        <v>45</v>
      </c>
      <c r="F9" s="11" t="s">
        <v>38</v>
      </c>
      <c r="G9" s="2" t="s">
        <v>37</v>
      </c>
      <c r="J9" s="11" t="s">
        <v>47</v>
      </c>
      <c r="K9">
        <f>COUNTIF(Primero,"=Tati")*3+COUNTIF(Segundo,"=Tati")*2+COUNTIF(Tercero,"=Tati")*1+COUNTIF(Cuarto,"=Tati")*0.5</f>
        <v>3.5</v>
      </c>
    </row>
    <row r="10" spans="3:11" x14ac:dyDescent="0.25">
      <c r="C10" s="23">
        <v>45600</v>
      </c>
      <c r="D10" s="11" t="s">
        <v>46</v>
      </c>
      <c r="E10" s="11" t="s">
        <v>0</v>
      </c>
      <c r="F10" s="11" t="s">
        <v>38</v>
      </c>
      <c r="G10" s="2" t="s">
        <v>45</v>
      </c>
      <c r="J10" s="11" t="s">
        <v>48</v>
      </c>
      <c r="K10">
        <f>COUNTIF(Primero,"=Claudia")*3+COUNTIF(Segundo,"=Claudia")*2+COUNTIF(Tercero,"=Claudia")*1+COUNTIF(Cuarto,"=Claudia")*0.5</f>
        <v>0</v>
      </c>
    </row>
    <row r="11" spans="3:11" x14ac:dyDescent="0.25">
      <c r="C11" s="23">
        <v>45600</v>
      </c>
      <c r="D11" s="11" t="s">
        <v>46</v>
      </c>
      <c r="E11" s="11" t="s">
        <v>45</v>
      </c>
      <c r="F11" s="11" t="s">
        <v>38</v>
      </c>
      <c r="G11" s="2" t="s">
        <v>0</v>
      </c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45601</v>
      </c>
      <c r="G12" s="2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45602</v>
      </c>
      <c r="G13" s="2"/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45603</v>
      </c>
      <c r="G14" s="2"/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45604</v>
      </c>
      <c r="D15" s="11" t="s">
        <v>38</v>
      </c>
      <c r="E15" s="11" t="s">
        <v>0</v>
      </c>
      <c r="F15" s="11" t="s">
        <v>45</v>
      </c>
      <c r="G15" s="2" t="s">
        <v>46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45605</v>
      </c>
      <c r="G16" s="2"/>
    </row>
    <row r="17" spans="3:7" x14ac:dyDescent="0.25">
      <c r="C17" s="23">
        <v>45606</v>
      </c>
      <c r="D17" s="11" t="s">
        <v>38</v>
      </c>
      <c r="E17" s="11" t="s">
        <v>0</v>
      </c>
      <c r="F17" s="11" t="s">
        <v>45</v>
      </c>
      <c r="G17" s="2" t="s">
        <v>46</v>
      </c>
    </row>
    <row r="18" spans="3:7" x14ac:dyDescent="0.25">
      <c r="C18" s="23">
        <v>45606</v>
      </c>
      <c r="D18" s="11" t="s">
        <v>0</v>
      </c>
      <c r="E18" s="11" t="s">
        <v>46</v>
      </c>
      <c r="F18" s="11" t="s">
        <v>38</v>
      </c>
      <c r="G18" s="2" t="s">
        <v>45</v>
      </c>
    </row>
    <row r="19" spans="3:7" x14ac:dyDescent="0.25">
      <c r="C19" s="23">
        <v>45607</v>
      </c>
      <c r="D19" s="11" t="s">
        <v>0</v>
      </c>
      <c r="E19" s="11" t="s">
        <v>45</v>
      </c>
      <c r="F19" s="11" t="s">
        <v>46</v>
      </c>
      <c r="G19" s="2"/>
    </row>
    <row r="20" spans="3:7" x14ac:dyDescent="0.25">
      <c r="C20" s="23">
        <v>45608</v>
      </c>
      <c r="D20" s="11" t="s">
        <v>0</v>
      </c>
      <c r="E20" s="11" t="s">
        <v>46</v>
      </c>
      <c r="F20" s="11" t="s">
        <v>38</v>
      </c>
      <c r="G20" s="2"/>
    </row>
    <row r="21" spans="3:7" x14ac:dyDescent="0.25">
      <c r="C21" s="23">
        <v>45608</v>
      </c>
      <c r="D21" s="11" t="s">
        <v>46</v>
      </c>
      <c r="E21" s="11" t="s">
        <v>45</v>
      </c>
      <c r="F21" s="11" t="s">
        <v>0</v>
      </c>
      <c r="G21" s="2" t="s">
        <v>38</v>
      </c>
    </row>
    <row r="22" spans="3:7" x14ac:dyDescent="0.25">
      <c r="C22" s="23">
        <v>45609</v>
      </c>
      <c r="G22" s="2"/>
    </row>
    <row r="23" spans="3:7" x14ac:dyDescent="0.25">
      <c r="C23" s="23">
        <v>45610</v>
      </c>
      <c r="G23" s="2"/>
    </row>
    <row r="24" spans="3:7" x14ac:dyDescent="0.25">
      <c r="C24" s="23">
        <v>45611</v>
      </c>
      <c r="G24" s="2"/>
    </row>
    <row r="25" spans="3:7" x14ac:dyDescent="0.25">
      <c r="C25" s="23">
        <v>45612</v>
      </c>
      <c r="G25" s="2"/>
    </row>
    <row r="26" spans="3:7" x14ac:dyDescent="0.25">
      <c r="C26" s="23">
        <v>45613</v>
      </c>
      <c r="G26" s="2"/>
    </row>
    <row r="27" spans="3:7" x14ac:dyDescent="0.25">
      <c r="C27" s="23">
        <v>45614</v>
      </c>
      <c r="G27" s="2"/>
    </row>
    <row r="28" spans="3:7" x14ac:dyDescent="0.25">
      <c r="C28" s="23">
        <v>45615</v>
      </c>
      <c r="G28" s="2"/>
    </row>
    <row r="29" spans="3:7" x14ac:dyDescent="0.25">
      <c r="C29" s="23">
        <v>45616</v>
      </c>
      <c r="G29" s="2"/>
    </row>
    <row r="30" spans="3:7" x14ac:dyDescent="0.25">
      <c r="C30" s="23">
        <v>45617</v>
      </c>
      <c r="G30" s="2"/>
    </row>
    <row r="31" spans="3:7" x14ac:dyDescent="0.25">
      <c r="C31" s="23">
        <v>45618</v>
      </c>
      <c r="G31" s="2"/>
    </row>
    <row r="32" spans="3:7" x14ac:dyDescent="0.25">
      <c r="C32" s="23">
        <v>45619</v>
      </c>
      <c r="G32" s="2"/>
    </row>
    <row r="33" spans="3:7" x14ac:dyDescent="0.25">
      <c r="C33" s="23">
        <v>45620</v>
      </c>
      <c r="G33" s="2"/>
    </row>
    <row r="34" spans="3:7" x14ac:dyDescent="0.25">
      <c r="C34" s="23">
        <v>45621</v>
      </c>
      <c r="G34" s="2"/>
    </row>
    <row r="35" spans="3:7" x14ac:dyDescent="0.25">
      <c r="C35" s="23">
        <v>45622</v>
      </c>
      <c r="G35" s="2"/>
    </row>
    <row r="36" spans="3:7" x14ac:dyDescent="0.25">
      <c r="C36" s="23">
        <v>45623</v>
      </c>
      <c r="G36" s="2"/>
    </row>
    <row r="37" spans="3:7" x14ac:dyDescent="0.25">
      <c r="C37" s="23">
        <v>45624</v>
      </c>
      <c r="G37" s="2"/>
    </row>
    <row r="38" spans="3:7" x14ac:dyDescent="0.25">
      <c r="C38" s="23">
        <v>45625</v>
      </c>
      <c r="G38" s="2"/>
    </row>
    <row r="39" spans="3:7" x14ac:dyDescent="0.25">
      <c r="C39" s="23">
        <v>45626</v>
      </c>
      <c r="G39" s="2"/>
    </row>
    <row r="40" spans="3:7" ht="15.75" thickBot="1" x14ac:dyDescent="0.3">
      <c r="C40" s="24"/>
      <c r="D40" s="25"/>
      <c r="E40" s="25"/>
      <c r="F40" s="25"/>
      <c r="G40" s="3"/>
    </row>
  </sheetData>
  <dataValidations disablePrompts="1"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2024-11-13T20:07:29Z</dcterms:modified>
</cp:coreProperties>
</file>