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2EEC0C6C-2135-412F-9629-2E599B6CE73E}" xr6:coauthVersionLast="47" xr6:coauthVersionMax="47" xr10:uidLastSave="{00000000-0000-0000-0000-000000000000}"/>
  <bookViews>
    <workbookView xWindow="3120" yWindow="3120" windowWidth="21600" windowHeight="11235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Seguimineto!$D$4:$D$40</definedName>
    <definedName name="Segundo" localSheetId="4">Seguimineto!$E$4:$E$40</definedName>
    <definedName name="TAti">Seguimineto!$K$6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6" i="6"/>
  <c r="K9" i="6"/>
  <c r="K7" i="6"/>
  <c r="K8" i="6"/>
  <c r="K5" i="6"/>
</calcChain>
</file>

<file path=xl/sharedStrings.xml><?xml version="1.0" encoding="utf-8"?>
<sst xmlns="http://schemas.openxmlformats.org/spreadsheetml/2006/main" count="187" uniqueCount="54">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</sst>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4"/>
      <c r="C4" s="24"/>
      <c r="D4" s="24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6.5</v>
      </c>
    </row>
    <row r="8" spans="1:4" ht="16.5" x14ac:dyDescent="0.25">
      <c r="B8" s="16" t="s">
        <v>25</v>
      </c>
      <c r="C8" s="17" t="s">
        <v>30</v>
      </c>
      <c r="D8" s="10">
        <v>6</v>
      </c>
    </row>
    <row r="9" spans="1:4" ht="16.5" x14ac:dyDescent="0.25">
      <c r="B9" s="16" t="s">
        <v>26</v>
      </c>
      <c r="C9" s="10" t="s">
        <v>31</v>
      </c>
      <c r="D9" s="10">
        <v>5</v>
      </c>
    </row>
    <row r="10" spans="1:4" ht="16.5" x14ac:dyDescent="0.25">
      <c r="B10" s="18">
        <v>4</v>
      </c>
      <c r="C10" s="10" t="s">
        <v>35</v>
      </c>
      <c r="D10" s="10">
        <v>4</v>
      </c>
    </row>
    <row r="11" spans="1:4" ht="16.5" x14ac:dyDescent="0.25">
      <c r="B11" s="18">
        <v>5</v>
      </c>
      <c r="C11" s="10" t="s">
        <v>27</v>
      </c>
      <c r="D11" s="10">
        <v>3.5</v>
      </c>
    </row>
    <row r="12" spans="1:4" ht="16.5" x14ac:dyDescent="0.25">
      <c r="B12" s="18">
        <v>6</v>
      </c>
      <c r="C12" s="10" t="s">
        <v>32</v>
      </c>
      <c r="D12" s="10">
        <v>1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6.5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30</v>
      </c>
      <c r="C11" s="12" t="s">
        <v>16</v>
      </c>
    </row>
    <row r="12" spans="1:3" x14ac:dyDescent="0.25">
      <c r="A12" s="12" t="s">
        <v>17</v>
      </c>
      <c r="B12" s="12">
        <v>6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35</v>
      </c>
      <c r="C23" s="12" t="s">
        <v>16</v>
      </c>
    </row>
    <row r="24" spans="1:3" x14ac:dyDescent="0.25">
      <c r="A24" s="12" t="s">
        <v>17</v>
      </c>
      <c r="B24" s="12">
        <v>4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27</v>
      </c>
      <c r="C29" s="12" t="s">
        <v>16</v>
      </c>
    </row>
    <row r="30" spans="1:3" x14ac:dyDescent="0.25">
      <c r="A30" s="12" t="s">
        <v>17</v>
      </c>
      <c r="B30" s="12">
        <v>3.5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1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40"/>
  <sheetViews>
    <sheetView tabSelected="1" workbookViewId="0">
      <selection activeCell="D15" sqref="D15"/>
    </sheetView>
  </sheetViews>
  <sheetFormatPr baseColWidth="10" defaultRowHeight="15" x14ac:dyDescent="0.25"/>
  <cols>
    <col min="3" max="3" width="30.28515625" bestFit="1" customWidth="1"/>
    <col min="4" max="7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11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J5" s="11" t="s">
        <v>0</v>
      </c>
      <c r="K5">
        <f>COUNTIF(Primero,"=Ely")*3+COUNTIF(Segundo,"=Ely")*2+COUNTIF(Tercero,"=Ely")*1+COUNTIF(Cuarto,"=Ely")*0.5</f>
        <v>6.5</v>
      </c>
    </row>
    <row r="6" spans="3:11" x14ac:dyDescent="0.25">
      <c r="C6" s="23">
        <v>45569</v>
      </c>
      <c r="J6" s="11" t="s">
        <v>45</v>
      </c>
      <c r="K6">
        <f>COUNTIF(Primero,"=Carlos")*3+COUNTIF(Segundo,"=Carlos")*2+COUNTIF(Tercero,"=Carlos")*1+COUNTIF(Cuarto,"=Carlos")*0.5</f>
        <v>6</v>
      </c>
    </row>
    <row r="7" spans="3:11" x14ac:dyDescent="0.25">
      <c r="C7" s="23">
        <v>45570</v>
      </c>
      <c r="J7" s="11" t="s">
        <v>38</v>
      </c>
      <c r="K7">
        <f>COUNTIF(Primero,"=Oscar")*3+COUNTIF(Segundo,"=Oscar")*2+COUNTIF(Tercero,"=Oscar")*1+COUNTIF(Cuarto,"=Oscar")*0.5</f>
        <v>5</v>
      </c>
    </row>
    <row r="8" spans="3:11" x14ac:dyDescent="0.25">
      <c r="C8" s="23">
        <v>45571</v>
      </c>
      <c r="J8" s="11" t="s">
        <v>47</v>
      </c>
      <c r="K8">
        <f>COUNTIF(Primero,"=Tati")*3+COUNTIF(Segundo,"=Tati")*2+COUNTIF(Tercero,"=Tati")*1+COUNTIF(Cuarto,"=Tati")*0.5</f>
        <v>4</v>
      </c>
    </row>
    <row r="9" spans="3:11" x14ac:dyDescent="0.25">
      <c r="C9" s="23">
        <v>45572</v>
      </c>
      <c r="J9" s="11" t="s">
        <v>46</v>
      </c>
      <c r="K9">
        <f>COUNTIF(Primero,"=Líder")*3+COUNTIF(Segundo,"=Líder")*2+COUNTIF(Tercero,"=Líder")*1+COUNTIF(Cuarto,"=Líder")*0.5</f>
        <v>3.5</v>
      </c>
    </row>
    <row r="10" spans="3:11" x14ac:dyDescent="0.25">
      <c r="C10" s="23">
        <v>45573</v>
      </c>
      <c r="J10" s="11" t="s">
        <v>48</v>
      </c>
      <c r="K10">
        <f>COUNTIF(Primero,"=Claudia")*3+COUNTIF(Segundo,"=Claudia")*2+COUNTIF(Tercero,"=Claudia")*1+COUNTIF(Cuarto,"=Claudia")*0.5</f>
        <v>1</v>
      </c>
    </row>
    <row r="11" spans="3:11" x14ac:dyDescent="0.25">
      <c r="C11" s="23">
        <v>45574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11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11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</row>
    <row r="17" spans="3:3" x14ac:dyDescent="0.25">
      <c r="C17" s="23">
        <v>45580</v>
      </c>
    </row>
    <row r="18" spans="3:3" x14ac:dyDescent="0.25">
      <c r="C18" s="23">
        <v>45581</v>
      </c>
    </row>
    <row r="19" spans="3:3" x14ac:dyDescent="0.25">
      <c r="C19" s="23">
        <v>45582</v>
      </c>
    </row>
    <row r="20" spans="3:3" x14ac:dyDescent="0.25">
      <c r="C20" s="23">
        <v>45583</v>
      </c>
    </row>
    <row r="21" spans="3:3" x14ac:dyDescent="0.25">
      <c r="C21" s="23">
        <v>45584</v>
      </c>
    </row>
    <row r="22" spans="3:3" x14ac:dyDescent="0.25">
      <c r="C22" s="23">
        <v>45585</v>
      </c>
    </row>
    <row r="23" spans="3:3" x14ac:dyDescent="0.25">
      <c r="C23" s="23">
        <v>45586</v>
      </c>
    </row>
    <row r="24" spans="3:3" x14ac:dyDescent="0.25">
      <c r="C24" s="23">
        <v>45587</v>
      </c>
    </row>
    <row r="25" spans="3:3" x14ac:dyDescent="0.25">
      <c r="C25" s="23">
        <v>45588</v>
      </c>
    </row>
    <row r="26" spans="3:3" x14ac:dyDescent="0.25">
      <c r="C26" s="23">
        <v>45589</v>
      </c>
    </row>
    <row r="27" spans="3:3" x14ac:dyDescent="0.25">
      <c r="C27" s="23">
        <v>45590</v>
      </c>
    </row>
    <row r="28" spans="3:3" x14ac:dyDescent="0.25">
      <c r="C28" s="23">
        <v>45591</v>
      </c>
    </row>
    <row r="29" spans="3:3" x14ac:dyDescent="0.25">
      <c r="C29" s="23">
        <v>45592</v>
      </c>
    </row>
    <row r="30" spans="3:3" x14ac:dyDescent="0.25">
      <c r="C30" s="23">
        <v>45593</v>
      </c>
    </row>
    <row r="31" spans="3:3" x14ac:dyDescent="0.25">
      <c r="C31" s="23">
        <v>45594</v>
      </c>
    </row>
    <row r="32" spans="3:3" x14ac:dyDescent="0.25">
      <c r="C32" s="23">
        <v>45595</v>
      </c>
    </row>
    <row r="33" spans="3:3" x14ac:dyDescent="0.25">
      <c r="C33" s="23">
        <v>45596</v>
      </c>
    </row>
    <row r="34" spans="3:3" x14ac:dyDescent="0.25">
      <c r="C34" s="21"/>
    </row>
    <row r="35" spans="3:3" x14ac:dyDescent="0.25">
      <c r="C35" s="21"/>
    </row>
    <row r="36" spans="3:3" x14ac:dyDescent="0.25">
      <c r="C36" s="21"/>
    </row>
    <row r="37" spans="3:3" x14ac:dyDescent="0.25">
      <c r="C37" s="21"/>
    </row>
    <row r="38" spans="3:3" x14ac:dyDescent="0.25">
      <c r="C38" s="21"/>
    </row>
    <row r="39" spans="3:3" x14ac:dyDescent="0.25">
      <c r="C39" s="21"/>
    </row>
    <row r="40" spans="3:3" x14ac:dyDescent="0.25">
      <c r="C40" s="21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2024-10-14T19:38:12Z</dcterms:modified>
</cp:coreProperties>
</file>