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137DE70B-9B30-483F-A504-1FD777367AA0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4">Seguimineto!$G$4:$G$36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4">Seguimineto!$D$4:$D$36</definedName>
    <definedName name="Segundo" localSheetId="4">Seguimineto!$E$4:$E$36</definedName>
    <definedName name="TAti">Seguimineto!$K$6</definedName>
    <definedName name="Tercero" localSheetId="4">Seguimineto!$F$4:$F$36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1" l="1"/>
  <c r="D17" i="1"/>
  <c r="D13" i="1"/>
  <c r="D15" i="1"/>
  <c r="D14" i="1"/>
  <c r="D12" i="1"/>
  <c r="D11" i="1"/>
  <c r="D10" i="1"/>
  <c r="D9" i="1"/>
  <c r="D8" i="1"/>
  <c r="D7" i="1"/>
  <c r="K15" i="6"/>
  <c r="K14" i="6"/>
  <c r="K13" i="6"/>
  <c r="K12" i="6"/>
  <c r="K11" i="6"/>
  <c r="K10" i="6"/>
  <c r="K9" i="6"/>
  <c r="K8" i="6"/>
  <c r="K7" i="6"/>
  <c r="K6" i="6"/>
  <c r="K5" i="6"/>
</calcChain>
</file>

<file path=xl/sharedStrings.xml><?xml version="1.0" encoding="utf-8"?>
<sst xmlns="http://schemas.openxmlformats.org/spreadsheetml/2006/main" count="289" uniqueCount="72">
  <si>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</si>
  <si>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</si>
  <si>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</si>
  <si>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</si>
  <si>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</si>
  <si>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</si>
  <si>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</si>
  <si>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</si>
  <si>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</si>
  <si>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</si>
  <si>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</si>
  <si>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</si>
  <si>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</si>
  <si>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</si>
  <si>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</si>
  <si>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</si>
  <si>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</si>
  <si>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</si>
  <si>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</si>
  <si>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</si>
  <si>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</si>
  <si>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</si>
  <si>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</si>
  <si>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</si>
  <si>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</si>
  <si>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</si>
  <si>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</si>
  <si>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</si>
  <si>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</si>
  <si>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</si>
  <si>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</si>
  <si>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</si>
  <si>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</si>
  <si>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</si>
  <si>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</si>
  <si>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</si>
  <si>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</si>
  <si>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</si>
  <si>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</si>
  <si>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</si>
  <si>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</si>
  <si>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</si>
  <si>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</si>
  <si>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</si>
  <si>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</si>
  <si>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Lunes 02 Sep</t>
  </si>
  <si>
    <t>Carlos</t>
  </si>
  <si>
    <t>Líder</t>
  </si>
  <si>
    <t>Martes 03 Sep</t>
  </si>
  <si>
    <t>Miércoles 04 Sep</t>
  </si>
  <si>
    <t>TAti</t>
  </si>
  <si>
    <t>Jueves 05 Sep</t>
  </si>
  <si>
    <t>Viernes 06 Sep</t>
  </si>
  <si>
    <t>Lunes 09 Sep</t>
  </si>
  <si>
    <t>Martes 10 Sep</t>
  </si>
  <si>
    <t>Miercoles 11 Sep</t>
  </si>
  <si>
    <t>Jueves 12 Sep</t>
  </si>
  <si>
    <t>Sábado 14 Sep</t>
  </si>
  <si>
    <t>Domingo 15 Sep</t>
  </si>
  <si>
    <t>Lunes 16 Sep</t>
  </si>
  <si>
    <t>Martes 17 Septiembre</t>
  </si>
  <si>
    <t>Miércoles 18 Septiembre</t>
  </si>
  <si>
    <t>Viernes 20 Septiembre</t>
  </si>
  <si>
    <t>Domingo 22 Septiembre</t>
  </si>
  <si>
    <t>Lunes 23 Septiembre</t>
  </si>
  <si>
    <t>Martes 24 Septiembre</t>
  </si>
  <si>
    <t>Claudia</t>
  </si>
  <si>
    <t>Yeni</t>
  </si>
  <si>
    <t>Erik</t>
  </si>
  <si>
    <t>Chalo</t>
  </si>
  <si>
    <t>Nombre</t>
  </si>
  <si>
    <t>Puntaje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</si>
</sst>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JUNIO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3"/>
      <c r="C4" s="23"/>
      <c r="D4" s="23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33</v>
      </c>
      <c r="D7" s="10">
        <f>Ely</f>
        <v>36</v>
      </c>
    </row>
    <row r="8" spans="1:4" ht="16.5" x14ac:dyDescent="0.25">
      <c r="B8" s="16" t="s">
        <v>25</v>
      </c>
      <c r="C8" s="10" t="s">
        <v>35</v>
      </c>
      <c r="D8" s="10">
        <f>TAti</f>
        <v>35.5</v>
      </c>
    </row>
    <row r="9" spans="1:4" ht="16.5" x14ac:dyDescent="0.25">
      <c r="B9" s="16" t="s">
        <v>26</v>
      </c>
      <c r="C9" s="10" t="s">
        <v>31</v>
      </c>
      <c r="D9" s="10">
        <f>Oscar</f>
        <v>29</v>
      </c>
    </row>
    <row r="10" spans="1:4" ht="16.5" x14ac:dyDescent="0.25">
      <c r="B10" s="18">
        <v>4</v>
      </c>
      <c r="C10" s="10" t="s">
        <v>27</v>
      </c>
      <c r="D10" s="10">
        <f>Líder</f>
        <v>27</v>
      </c>
    </row>
    <row r="11" spans="1:4" ht="16.5" x14ac:dyDescent="0.25">
      <c r="B11" s="18">
        <v>5</v>
      </c>
      <c r="C11" s="17" t="s">
        <v>30</v>
      </c>
      <c r="D11" s="10">
        <f>Carlos</f>
        <v>18.5</v>
      </c>
    </row>
    <row r="12" spans="1:4" ht="16.5" x14ac:dyDescent="0.25">
      <c r="B12" s="18">
        <v>6</v>
      </c>
      <c r="C12" s="10" t="s">
        <v>36</v>
      </c>
      <c r="D12" s="10">
        <f>Marce</f>
        <v>13</v>
      </c>
    </row>
    <row r="13" spans="1:4" ht="16.5" x14ac:dyDescent="0.25">
      <c r="B13" s="18">
        <v>7</v>
      </c>
      <c r="C13" s="10" t="s">
        <v>3</v>
      </c>
      <c r="D13" s="10">
        <f>Andrés</f>
        <v>0</v>
      </c>
    </row>
    <row r="14" spans="1:4" ht="16.5" x14ac:dyDescent="0.25">
      <c r="B14" s="18">
        <v>7</v>
      </c>
      <c r="C14" s="10" t="s">
        <v>32</v>
      </c>
      <c r="D14" s="10">
        <f>Claudia</f>
        <v>0</v>
      </c>
    </row>
    <row r="15" spans="1:4" ht="16.5" x14ac:dyDescent="0.25">
      <c r="B15" s="18">
        <v>7</v>
      </c>
      <c r="C15" s="10" t="s">
        <v>29</v>
      </c>
      <c r="D15" s="10">
        <f>Yeni</f>
        <v>0</v>
      </c>
    </row>
    <row r="16" spans="1:4" ht="16.5" x14ac:dyDescent="0.25">
      <c r="B16" s="18">
        <v>7</v>
      </c>
      <c r="C16" s="10" t="s">
        <v>34</v>
      </c>
      <c r="D16" s="10">
        <f>Chalo</f>
        <v>0</v>
      </c>
    </row>
    <row r="17" spans="2:4" ht="16.5" x14ac:dyDescent="0.25">
      <c r="B17" s="19">
        <v>7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tabSelected="1"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33</v>
      </c>
      <c r="C5" s="12" t="s">
        <v>16</v>
      </c>
    </row>
    <row r="6" spans="1:3" x14ac:dyDescent="0.25">
      <c r="A6" s="12" t="s">
        <v>17</v>
      </c>
      <c r="B6" s="12">
        <v>36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35</v>
      </c>
      <c r="C11" s="12" t="s">
        <v>16</v>
      </c>
    </row>
    <row r="12" spans="1:3" x14ac:dyDescent="0.25">
      <c r="A12" s="12" t="s">
        <v>17</v>
      </c>
      <c r="B12" s="12">
        <v>35.5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31</v>
      </c>
      <c r="C17" s="12" t="s">
        <v>16</v>
      </c>
    </row>
    <row r="18" spans="1:3" x14ac:dyDescent="0.25">
      <c r="A18" s="12" t="s">
        <v>17</v>
      </c>
      <c r="B18" s="12">
        <v>29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>
        <v>4</v>
      </c>
      <c r="C22" s="12" t="s">
        <v>16</v>
      </c>
    </row>
    <row r="23" spans="1:3" x14ac:dyDescent="0.25">
      <c r="A23" s="12" t="s">
        <v>17</v>
      </c>
      <c r="B23" s="11" t="s">
        <v>27</v>
      </c>
      <c r="C23" s="12" t="s">
        <v>16</v>
      </c>
    </row>
    <row r="24" spans="1:3" x14ac:dyDescent="0.25">
      <c r="A24" s="12" t="s">
        <v>17</v>
      </c>
      <c r="B24" s="12">
        <v>27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5</v>
      </c>
      <c r="C28" s="12" t="s">
        <v>16</v>
      </c>
    </row>
    <row r="29" spans="1:3" x14ac:dyDescent="0.25">
      <c r="A29" s="12" t="s">
        <v>17</v>
      </c>
      <c r="B29" s="11" t="s">
        <v>30</v>
      </c>
      <c r="C29" s="12" t="s">
        <v>16</v>
      </c>
    </row>
    <row r="30" spans="1:3" x14ac:dyDescent="0.25">
      <c r="A30" s="12" t="s">
        <v>17</v>
      </c>
      <c r="B30" s="12">
        <v>18.5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6</v>
      </c>
      <c r="C34" s="12" t="s">
        <v>16</v>
      </c>
    </row>
    <row r="35" spans="1:3" x14ac:dyDescent="0.25">
      <c r="A35" s="12" t="s">
        <v>17</v>
      </c>
      <c r="B35" s="11" t="s">
        <v>36</v>
      </c>
      <c r="C35" s="12" t="s">
        <v>16</v>
      </c>
    </row>
    <row r="36" spans="1:3" x14ac:dyDescent="0.25">
      <c r="A36" s="12" t="s">
        <v>17</v>
      </c>
      <c r="B36" s="12">
        <v>13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7</v>
      </c>
      <c r="C40" s="12" t="s">
        <v>16</v>
      </c>
    </row>
    <row r="41" spans="1:3" x14ac:dyDescent="0.25">
      <c r="A41" s="12" t="s">
        <v>17</v>
      </c>
      <c r="B41" s="11" t="s">
        <v>3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7</v>
      </c>
      <c r="C46" s="12" t="s">
        <v>16</v>
      </c>
    </row>
    <row r="47" spans="1:3" x14ac:dyDescent="0.25">
      <c r="A47" s="12" t="s">
        <v>17</v>
      </c>
      <c r="B47" s="11" t="s">
        <v>32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7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7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7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3:K28"/>
  <sheetViews>
    <sheetView workbookViewId="0">
      <selection activeCell="K15" sqref="K15"/>
    </sheetView>
  </sheetViews>
  <sheetFormatPr baseColWidth="10" defaultRowHeight="15" x14ac:dyDescent="0.25"/>
  <cols>
    <col min="3" max="3" width="23.28515625" bestFit="1" customWidth="1"/>
    <col min="10" max="11" width="12" customWidth="1"/>
  </cols>
  <sheetData>
    <row r="3" spans="3:11" x14ac:dyDescent="0.25">
      <c r="C3" s="20" t="s">
        <v>40</v>
      </c>
      <c r="D3" s="22" t="s">
        <v>41</v>
      </c>
      <c r="E3" s="22" t="s">
        <v>42</v>
      </c>
      <c r="F3" s="22" t="s">
        <v>43</v>
      </c>
      <c r="G3" s="22" t="s">
        <v>44</v>
      </c>
    </row>
    <row r="4" spans="3:11" x14ac:dyDescent="0.25">
      <c r="C4" s="21" t="s">
        <v>45</v>
      </c>
      <c r="D4" s="11" t="s">
        <v>46</v>
      </c>
      <c r="E4" s="11" t="s">
        <v>47</v>
      </c>
      <c r="F4" s="11" t="s">
        <v>0</v>
      </c>
      <c r="G4" s="11" t="s">
        <v>38</v>
      </c>
      <c r="J4" s="11" t="s">
        <v>70</v>
      </c>
      <c r="K4" t="s">
        <v>71</v>
      </c>
    </row>
    <row r="5" spans="3:11" x14ac:dyDescent="0.25">
      <c r="C5" s="21" t="s">
        <v>48</v>
      </c>
      <c r="D5" s="11" t="s">
        <v>0</v>
      </c>
      <c r="E5" s="11" t="s">
        <v>36</v>
      </c>
      <c r="F5" s="11" t="s">
        <v>46</v>
      </c>
      <c r="G5" s="11"/>
      <c r="J5" s="11" t="s">
        <v>0</v>
      </c>
      <c r="K5">
        <f>COUNTIF(Primero,"=Ely")*3+COUNTIF(Segundo,"=Ely")*2+COUNTIF(Tercero,"=Ely")*1+COUNTIF(Cuarto,"=Ely")*0.5</f>
        <v>36</v>
      </c>
    </row>
    <row r="6" spans="3:11" x14ac:dyDescent="0.25">
      <c r="C6" s="21" t="s">
        <v>49</v>
      </c>
      <c r="D6" s="11" t="s">
        <v>37</v>
      </c>
      <c r="E6" s="11" t="s">
        <v>47</v>
      </c>
      <c r="F6" s="11" t="s">
        <v>0</v>
      </c>
      <c r="G6" s="11" t="s">
        <v>38</v>
      </c>
      <c r="J6" s="11" t="s">
        <v>50</v>
      </c>
      <c r="K6">
        <f>COUNTIF(Primero,"=Tati")*3+COUNTIF(Segundo,"=Tati")*2+COUNTIF(Tercero,"=Tati")*1+COUNTIF(Cuarto,"=Tati")*0.5</f>
        <v>35.5</v>
      </c>
    </row>
    <row r="7" spans="3:11" x14ac:dyDescent="0.25">
      <c r="C7" s="21" t="s">
        <v>51</v>
      </c>
      <c r="D7" s="11" t="s">
        <v>0</v>
      </c>
      <c r="E7" s="11" t="s">
        <v>36</v>
      </c>
      <c r="F7" s="11" t="s">
        <v>46</v>
      </c>
      <c r="G7" s="11" t="s">
        <v>37</v>
      </c>
      <c r="J7" s="11" t="s">
        <v>38</v>
      </c>
      <c r="K7">
        <f>COUNTIF(Primero,"=Oscar")*3+COUNTIF(Segundo,"=Oscar")*2+COUNTIF(Tercero,"=Oscar")*1+COUNTIF(Cuarto,"=Oscar")*0.5</f>
        <v>29</v>
      </c>
    </row>
    <row r="8" spans="3:11" x14ac:dyDescent="0.25">
      <c r="C8" s="21" t="s">
        <v>52</v>
      </c>
      <c r="D8" s="11" t="s">
        <v>0</v>
      </c>
      <c r="E8" s="11" t="s">
        <v>37</v>
      </c>
      <c r="F8" s="11" t="s">
        <v>38</v>
      </c>
      <c r="G8" s="11"/>
      <c r="J8" s="11" t="s">
        <v>47</v>
      </c>
      <c r="K8">
        <f>COUNTIF(Primero,"=Líder")*3+COUNTIF(Segundo,"=Líder")*2+COUNTIF(Tercero,"=Líder")*1+COUNTIF(Cuarto,"=Líder")*0.5</f>
        <v>27</v>
      </c>
    </row>
    <row r="9" spans="3:11" x14ac:dyDescent="0.25">
      <c r="C9" s="21" t="s">
        <v>53</v>
      </c>
      <c r="D9" s="11" t="s">
        <v>0</v>
      </c>
      <c r="E9" s="11" t="s">
        <v>47</v>
      </c>
      <c r="F9" s="11" t="s">
        <v>38</v>
      </c>
      <c r="G9" s="11" t="s">
        <v>46</v>
      </c>
      <c r="J9" s="11" t="s">
        <v>46</v>
      </c>
      <c r="K9">
        <f>COUNTIF(Primero,"=Carlos")*3+COUNTIF(Segundo,"=Carlos")*2+COUNTIF(Tercero,"=Carlos")*1+COUNTIF(Cuarto,"=Carlos")*0.5</f>
        <v>18.5</v>
      </c>
    </row>
    <row r="10" spans="3:11" x14ac:dyDescent="0.25">
      <c r="C10" s="21" t="s">
        <v>53</v>
      </c>
      <c r="D10" s="11" t="s">
        <v>47</v>
      </c>
      <c r="E10" s="11" t="s">
        <v>0</v>
      </c>
      <c r="F10" s="11" t="s">
        <v>38</v>
      </c>
      <c r="G10" s="11"/>
      <c r="J10" s="11" t="s">
        <v>36</v>
      </c>
      <c r="K10">
        <f>COUNTIF(Primero,"=Marce")*3+COUNTIF(Segundo,"=Marce")*2+COUNTIF(Tercero,"=Marce")*1+COUNTIF(Cuarto,"=Marce")*0.5</f>
        <v>13</v>
      </c>
    </row>
    <row r="11" spans="3:11" x14ac:dyDescent="0.25">
      <c r="C11" s="21" t="s">
        <v>54</v>
      </c>
      <c r="D11" s="11" t="s">
        <v>47</v>
      </c>
      <c r="E11" s="11" t="s">
        <v>0</v>
      </c>
      <c r="F11" s="11" t="s">
        <v>37</v>
      </c>
      <c r="G11" s="11" t="s">
        <v>38</v>
      </c>
      <c r="J11" s="11" t="s">
        <v>66</v>
      </c>
      <c r="K11">
        <f>COUNTIF(Primero,"=Claudia")*3+COUNTIF(Segundo,"=Claudia")*2+COUNTIF(Tercero,"=Claudia")*1+COUNTIF(Cuarto,"=Claudia")*0.5</f>
        <v>0</v>
      </c>
    </row>
    <row r="12" spans="3:11" x14ac:dyDescent="0.25">
      <c r="C12" s="21" t="s">
        <v>55</v>
      </c>
      <c r="D12" s="11" t="s">
        <v>37</v>
      </c>
      <c r="E12" s="11" t="s">
        <v>46</v>
      </c>
      <c r="F12" s="11" t="s">
        <v>38</v>
      </c>
      <c r="G12" s="11" t="s">
        <v>0</v>
      </c>
      <c r="J12" s="11" t="s">
        <v>67</v>
      </c>
      <c r="K12">
        <f>COUNTIF(Primero,"=Yeni")*3+COUNTIF(Segundo,"=Yeni")*2+COUNTIF(Tercero,"=Yeni")*1+COUNTIF(Cuarto,"=Yeni")*0.5</f>
        <v>0</v>
      </c>
    </row>
    <row r="13" spans="3:11" x14ac:dyDescent="0.25">
      <c r="C13" s="21" t="s">
        <v>56</v>
      </c>
      <c r="D13" s="11" t="s">
        <v>46</v>
      </c>
      <c r="E13" s="11" t="s">
        <v>38</v>
      </c>
      <c r="F13" s="11" t="s">
        <v>0</v>
      </c>
      <c r="G13" s="11" t="s">
        <v>37</v>
      </c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1" t="s">
        <v>57</v>
      </c>
      <c r="D14" s="11" t="s">
        <v>37</v>
      </c>
      <c r="E14" s="11" t="s">
        <v>38</v>
      </c>
      <c r="F14" s="11" t="s">
        <v>0</v>
      </c>
      <c r="G14" s="11" t="s">
        <v>47</v>
      </c>
      <c r="J14" s="11" t="s">
        <v>68</v>
      </c>
      <c r="K14">
        <f>COUNTIF(Primero,"=Erik")*3+COUNTIF(Segundo,"=Erik")*2+COUNTIF(Tercero,"=Erik")*1+COUNTIF(Cuarto,"=Erik")*0.5</f>
        <v>0</v>
      </c>
    </row>
    <row r="15" spans="3:11" x14ac:dyDescent="0.25">
      <c r="C15" s="21" t="s">
        <v>58</v>
      </c>
      <c r="D15" s="11" t="s">
        <v>47</v>
      </c>
      <c r="E15" s="11" t="s">
        <v>37</v>
      </c>
      <c r="F15" s="11" t="s">
        <v>36</v>
      </c>
      <c r="G15" s="11" t="s">
        <v>0</v>
      </c>
      <c r="J15" s="11" t="s">
        <v>69</v>
      </c>
      <c r="K15">
        <f>COUNTIF(Primero,"=Chalo")*3+COUNTIF(Segundo,"=Chalo")*2+COUNTIF(Tercero,"=Chalo")*1+COUNTIF(Cuarto,"=Chalo")*0.5</f>
        <v>0</v>
      </c>
    </row>
    <row r="16" spans="3:11" x14ac:dyDescent="0.25">
      <c r="C16" s="21" t="s">
        <v>59</v>
      </c>
      <c r="D16" s="11" t="s">
        <v>37</v>
      </c>
      <c r="E16" s="11" t="s">
        <v>38</v>
      </c>
      <c r="F16" s="11" t="s">
        <v>47</v>
      </c>
      <c r="G16" s="11" t="s">
        <v>0</v>
      </c>
    </row>
    <row r="17" spans="3:7" x14ac:dyDescent="0.25">
      <c r="C17" s="21" t="s">
        <v>60</v>
      </c>
      <c r="D17" s="11" t="s">
        <v>47</v>
      </c>
      <c r="E17" s="11" t="s">
        <v>38</v>
      </c>
      <c r="F17" s="11" t="s">
        <v>37</v>
      </c>
      <c r="G17" s="11" t="s">
        <v>0</v>
      </c>
    </row>
    <row r="18" spans="3:7" x14ac:dyDescent="0.25">
      <c r="C18" s="21" t="s">
        <v>60</v>
      </c>
      <c r="D18" s="11" t="s">
        <v>36</v>
      </c>
      <c r="E18" s="11" t="s">
        <v>0</v>
      </c>
      <c r="F18" s="11" t="s">
        <v>47</v>
      </c>
      <c r="G18" s="11" t="s">
        <v>37</v>
      </c>
    </row>
    <row r="19" spans="3:7" x14ac:dyDescent="0.25">
      <c r="C19" s="21" t="s">
        <v>61</v>
      </c>
      <c r="D19" s="11" t="s">
        <v>47</v>
      </c>
      <c r="E19" s="11" t="s">
        <v>38</v>
      </c>
      <c r="F19" s="11" t="s">
        <v>46</v>
      </c>
      <c r="G19" s="11"/>
    </row>
    <row r="20" spans="3:7" x14ac:dyDescent="0.25">
      <c r="C20" s="21" t="s">
        <v>39</v>
      </c>
      <c r="D20" s="11" t="s">
        <v>38</v>
      </c>
      <c r="E20" s="11" t="s">
        <v>0</v>
      </c>
      <c r="F20" s="11" t="s">
        <v>37</v>
      </c>
      <c r="G20" s="11"/>
    </row>
    <row r="21" spans="3:7" x14ac:dyDescent="0.25">
      <c r="C21" s="21" t="s">
        <v>62</v>
      </c>
      <c r="D21" s="11" t="s">
        <v>37</v>
      </c>
      <c r="E21" s="11" t="s">
        <v>0</v>
      </c>
      <c r="F21" s="11" t="s">
        <v>38</v>
      </c>
      <c r="G21" s="11"/>
    </row>
    <row r="22" spans="3:7" x14ac:dyDescent="0.25">
      <c r="C22" s="21" t="s">
        <v>63</v>
      </c>
      <c r="D22" s="11" t="s">
        <v>47</v>
      </c>
      <c r="E22" s="11" t="s">
        <v>37</v>
      </c>
      <c r="F22" s="11" t="s">
        <v>38</v>
      </c>
      <c r="G22" s="11" t="s">
        <v>0</v>
      </c>
    </row>
    <row r="23" spans="3:7" x14ac:dyDescent="0.25">
      <c r="C23" s="21" t="s">
        <v>63</v>
      </c>
      <c r="D23" s="11" t="s">
        <v>46</v>
      </c>
      <c r="E23" s="11" t="s">
        <v>37</v>
      </c>
      <c r="F23" s="11" t="s">
        <v>38</v>
      </c>
      <c r="G23" s="11" t="s">
        <v>0</v>
      </c>
    </row>
    <row r="24" spans="3:7" x14ac:dyDescent="0.25">
      <c r="C24" s="21" t="s">
        <v>64</v>
      </c>
      <c r="D24" s="11" t="s">
        <v>46</v>
      </c>
      <c r="E24" s="11" t="s">
        <v>37</v>
      </c>
      <c r="F24" s="11" t="s">
        <v>0</v>
      </c>
      <c r="G24" s="11"/>
    </row>
    <row r="25" spans="3:7" x14ac:dyDescent="0.25">
      <c r="C25" s="21" t="s">
        <v>65</v>
      </c>
      <c r="D25" s="11" t="s">
        <v>36</v>
      </c>
      <c r="E25" s="11" t="s">
        <v>38</v>
      </c>
      <c r="F25" s="11" t="s">
        <v>37</v>
      </c>
      <c r="G25" s="11" t="s">
        <v>0</v>
      </c>
    </row>
    <row r="26" spans="3:7" x14ac:dyDescent="0.25">
      <c r="C26" s="21" t="s">
        <v>65</v>
      </c>
      <c r="D26" s="11" t="s">
        <v>0</v>
      </c>
      <c r="E26" s="11" t="s">
        <v>37</v>
      </c>
      <c r="F26" s="11" t="s">
        <v>36</v>
      </c>
      <c r="G26" s="11" t="s">
        <v>38</v>
      </c>
    </row>
    <row r="27" spans="3:7" x14ac:dyDescent="0.25">
      <c r="C27" s="21" t="s">
        <v>65</v>
      </c>
      <c r="D27" s="11" t="s">
        <v>37</v>
      </c>
      <c r="E27" s="11" t="s">
        <v>38</v>
      </c>
      <c r="F27" s="11" t="s">
        <v>36</v>
      </c>
      <c r="G27" s="11" t="s">
        <v>0</v>
      </c>
    </row>
    <row r="28" spans="3:7" x14ac:dyDescent="0.25">
      <c r="C28" s="21" t="s">
        <v>65</v>
      </c>
      <c r="D28" s="11" t="s">
        <v>38</v>
      </c>
      <c r="E28" s="11" t="s">
        <v>0</v>
      </c>
      <c r="F28" s="11" t="s">
        <v>46</v>
      </c>
      <c r="G28" s="11" t="s">
        <v>47</v>
      </c>
    </row>
  </sheetData>
  <dataValidations count="1">
    <dataValidation type="list" allowBlank="1" showInputMessage="1" showErrorMessage="1" sqref="D4:D36" xr:uid="{70D0AC63-7CA2-462D-B2E2-1DD2D2E30BF1}">
      <formula1>$D$4:$D$36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15</vt:i4>
      </vt:variant>
    </vt:vector>
  </HeadingPairs>
  <TitlesOfParts>
    <vt:vector size="20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Seguimineto!Cuarto</vt:lpstr>
      <vt:lpstr>Ely</vt:lpstr>
      <vt:lpstr>Erik</vt:lpstr>
      <vt:lpstr>Líder</vt:lpstr>
      <vt:lpstr>Marce</vt:lpstr>
      <vt:lpstr>Oscar</vt:lpstr>
      <vt:lpstr>Seguimineto!Primero</vt:lpstr>
      <vt:lpstr>Seguimineto!Segundo</vt:lpstr>
      <vt:lpstr>TAti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2024-09-25T12:34:10Z</dcterms:modified>
</cp:coreProperties>
</file>