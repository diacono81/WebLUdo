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25A2F048-D1A1-40DF-9802-8BD402BA19A6}" xr6:coauthVersionLast="47" xr6:coauthVersionMax="47" xr10:uidLastSave="{00000000-0000-0000-0000-000000000000}"/>
  <bookViews>
    <workbookView xWindow="-225" yWindow="1380" windowWidth="21600" windowHeight="1129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6" i="6"/>
  <c r="K5" i="6"/>
</calcChain>
</file>

<file path=xl/sharedStrings.xml><?xml version="1.0" encoding="utf-8"?>
<sst xmlns="http://schemas.openxmlformats.org/spreadsheetml/2006/main" count="329" uniqueCount="76">
  <si>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</si>
  <si>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</si>
  <si>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</si>
  <si>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</si>
  <si>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</si>
  <si>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</si>
  <si>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</si>
  <si>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</si>
  <si>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</si>
  <si>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</si>
  <si>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</si>
  <si>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</si>
  <si>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</si>
  <si>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</si>
  <si>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</si>
  <si>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</si>
  <si>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</si>
  <si>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</si>
  <si>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</si>
  <si>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</si>
  <si>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</si>
  <si>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</si>
  <si>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</si>
  <si>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</si>
  <si>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</si>
  <si>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</si>
  <si>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</si>
  <si>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</si>
  <si>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</si>
  <si>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</si>
  <si>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</si>
  <si>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</si>
  <si>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</si>
  <si>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</si>
  <si>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</si>
  <si>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</si>
  <si>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</si>
  <si>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</si>
  <si>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</si>
  <si>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</si>
  <si>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</si>
  <si>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</si>
  <si>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</si>
  <si>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</si>
  <si>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</si>
  <si>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</si>
  <si>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</si>
  <si>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</si>
  <si>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</si>
  <si>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</si>
  <si>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</si>
  <si>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</si>
  <si>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</si>
  <si>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</si>
  <si>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</si>
  <si>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</si>
  <si>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</si>
  <si>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</si>
  <si>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</si>
  <si>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</si>
  <si>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</si>
  <si>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</si>
  <si>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</si>
  <si>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</si>
  <si>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</si>
  <si>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</si>
  <si>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</si>
  <si>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</si>
  <si>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</si>
  <si>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</si>
  <si>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</si>
  <si>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</si>
  <si>
    <t>Miercoles 25 Septiembre</t>
  </si>
  <si>
    <t>Jueves 26 Septiembre</t>
  </si>
  <si>
    <t>Viernes 27 Septiembre</t>
  </si>
  <si>
    <t>Sábado 28 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</si>
</sst>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52.5</v>
      </c>
    </row>
    <row r="8" spans="1:4" ht="16.5" x14ac:dyDescent="0.25">
      <c r="B8" s="16" t="s">
        <v>25</v>
      </c>
      <c r="C8" s="10" t="s">
        <v>35</v>
      </c>
      <c r="D8" s="10">
        <v>44.5</v>
      </c>
    </row>
    <row r="9" spans="1:4" ht="16.5" x14ac:dyDescent="0.25">
      <c r="B9" s="16" t="s">
        <v>26</v>
      </c>
      <c r="C9" s="10" t="s">
        <v>31</v>
      </c>
      <c r="D9" s="10">
        <v>41</v>
      </c>
    </row>
    <row r="10" spans="1:4" ht="16.5" x14ac:dyDescent="0.25">
      <c r="B10" s="18">
        <v>4</v>
      </c>
      <c r="C10" s="10" t="s">
        <v>27</v>
      </c>
      <c r="D10" s="10">
        <v>30.5</v>
      </c>
    </row>
    <row r="11" spans="1:4" ht="16.5" x14ac:dyDescent="0.25">
      <c r="B11" s="18">
        <v>5</v>
      </c>
      <c r="C11" s="17" t="s">
        <v>30</v>
      </c>
      <c r="D11" s="10">
        <v>29.5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52.5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44.5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41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30.5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29.5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36"/>
  <sheetViews>
    <sheetView workbookViewId="0">
      <selection activeCell="K9" sqref="K9"/>
    </sheetView>
  </sheetViews>
  <sheetFormatPr baseColWidth="10" defaultRowHeight="15" x14ac:dyDescent="0.25"/>
  <cols>
    <col min="3" max="3" width="23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0</v>
      </c>
      <c r="K5">
        <f>COUNTIF(Primero,"=Ely")*3+COUNTIF(Segundo,"=Ely")*2+COUNTIF(Tercero,"=Ely")*1+COUNTIF(Cuarto,"=Ely")*0.5</f>
        <v>52.5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50</v>
      </c>
      <c r="K6">
        <f>COUNTIF(Primero,"=Tati")*3+COUNTIF(Segundo,"=Tati")*2+COUNTIF(Tercero,"=Tati")*1+COUNTIF(Cuarto,"=Tati")*0.5</f>
        <v>44.5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41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30.5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29.5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  <row r="29" spans="3:7" x14ac:dyDescent="0.25">
      <c r="C29" s="21" t="s">
        <v>72</v>
      </c>
      <c r="D29" s="11" t="s">
        <v>37</v>
      </c>
      <c r="E29" s="11" t="s">
        <v>46</v>
      </c>
      <c r="F29" s="11" t="s">
        <v>38</v>
      </c>
      <c r="G29" s="11" t="s">
        <v>0</v>
      </c>
    </row>
    <row r="30" spans="3:7" x14ac:dyDescent="0.25">
      <c r="C30" s="21" t="s">
        <v>72</v>
      </c>
      <c r="D30" s="11" t="s">
        <v>0</v>
      </c>
      <c r="E30" s="11" t="s">
        <v>37</v>
      </c>
      <c r="F30" s="11" t="s">
        <v>46</v>
      </c>
      <c r="G30" s="11" t="s">
        <v>38</v>
      </c>
    </row>
    <row r="31" spans="3:7" x14ac:dyDescent="0.25">
      <c r="C31" s="21" t="s">
        <v>73</v>
      </c>
      <c r="D31" s="11" t="s">
        <v>38</v>
      </c>
      <c r="E31" s="11" t="s">
        <v>0</v>
      </c>
      <c r="F31" s="11" t="s">
        <v>46</v>
      </c>
      <c r="G31" s="11" t="s">
        <v>37</v>
      </c>
    </row>
    <row r="32" spans="3:7" x14ac:dyDescent="0.25">
      <c r="C32" s="21" t="s">
        <v>73</v>
      </c>
      <c r="D32" s="11" t="s">
        <v>46</v>
      </c>
      <c r="E32" s="11" t="s">
        <v>0</v>
      </c>
      <c r="F32" s="11" t="s">
        <v>37</v>
      </c>
      <c r="G32" s="11" t="s">
        <v>38</v>
      </c>
    </row>
    <row r="33" spans="3:7" x14ac:dyDescent="0.25">
      <c r="C33" s="21" t="s">
        <v>74</v>
      </c>
      <c r="D33" s="11" t="s">
        <v>0</v>
      </c>
      <c r="E33" s="11" t="s">
        <v>38</v>
      </c>
      <c r="F33" s="11" t="s">
        <v>46</v>
      </c>
      <c r="G33" s="11" t="s">
        <v>37</v>
      </c>
    </row>
    <row r="34" spans="3:7" x14ac:dyDescent="0.25">
      <c r="C34" s="21" t="s">
        <v>74</v>
      </c>
      <c r="D34" s="11" t="s">
        <v>38</v>
      </c>
      <c r="E34" s="11" t="s">
        <v>37</v>
      </c>
      <c r="F34" s="11" t="s">
        <v>0</v>
      </c>
      <c r="G34" s="11" t="s">
        <v>46</v>
      </c>
    </row>
    <row r="35" spans="3:7" x14ac:dyDescent="0.25">
      <c r="C35" s="21" t="s">
        <v>75</v>
      </c>
      <c r="D35" s="11" t="s">
        <v>47</v>
      </c>
      <c r="E35" s="11" t="s">
        <v>0</v>
      </c>
      <c r="F35" s="11" t="s">
        <v>38</v>
      </c>
      <c r="G35" s="11" t="s">
        <v>46</v>
      </c>
    </row>
    <row r="36" spans="3:7" x14ac:dyDescent="0.25">
      <c r="C36" s="21" t="s">
        <v>75</v>
      </c>
      <c r="D36" s="11" t="s">
        <v>0</v>
      </c>
      <c r="E36" s="11" t="s">
        <v>46</v>
      </c>
      <c r="F36" s="11" t="s">
        <v>38</v>
      </c>
      <c r="G36" s="11" t="s">
        <v>47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2024-09-29T18:32:42Z</dcterms:modified>
</cp:coreProperties>
</file>