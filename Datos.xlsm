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25B7115B-C05E-4468-85F7-9645F5AECCD1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8" i="6"/>
  <c r="K6" i="6"/>
  <c r="K7" i="6"/>
  <c r="K9" i="6"/>
  <c r="K5" i="6"/>
</calcChain>
</file>

<file path=xl/sharedStrings.xml><?xml version="1.0" encoding="utf-8"?>
<sst xmlns="http://schemas.openxmlformats.org/spreadsheetml/2006/main" count="259" uniqueCount="55">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</sst>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35.5</v>
      </c>
    </row>
    <row r="8" spans="1:4" ht="16.5" x14ac:dyDescent="0.25">
      <c r="B8" s="16" t="s">
        <v>25</v>
      </c>
      <c r="C8" s="10" t="s">
        <v>27</v>
      </c>
      <c r="D8" s="10">
        <v>32</v>
      </c>
    </row>
    <row r="9" spans="1:4" ht="16.5" x14ac:dyDescent="0.25">
      <c r="B9" s="16" t="s">
        <v>26</v>
      </c>
      <c r="C9" s="10" t="s">
        <v>31</v>
      </c>
      <c r="D9" s="10">
        <v>27.5</v>
      </c>
    </row>
    <row r="10" spans="1:4" ht="16.5" x14ac:dyDescent="0.25">
      <c r="B10" s="16" t="s">
        <v>26</v>
      </c>
      <c r="C10" s="17" t="s">
        <v>30</v>
      </c>
      <c r="D10" s="10">
        <v>24.5</v>
      </c>
    </row>
    <row r="11" spans="1:4" ht="16.5" x14ac:dyDescent="0.25">
      <c r="B11" s="18">
        <v>4</v>
      </c>
      <c r="C11" s="10" t="s">
        <v>35</v>
      </c>
      <c r="D11" s="10">
        <v>12.5</v>
      </c>
    </row>
    <row r="12" spans="1:4" ht="16.5" x14ac:dyDescent="0.25">
      <c r="B12" s="18">
        <v>5</v>
      </c>
      <c r="C12" s="10" t="s">
        <v>32</v>
      </c>
      <c r="D12" s="10">
        <v>11.5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35.5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27</v>
      </c>
      <c r="C11" s="12" t="s">
        <v>16</v>
      </c>
    </row>
    <row r="12" spans="1:3" x14ac:dyDescent="0.25">
      <c r="A12" s="12" t="s">
        <v>17</v>
      </c>
      <c r="B12" s="12">
        <v>32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27.5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26</v>
      </c>
      <c r="C22" s="12" t="s">
        <v>16</v>
      </c>
    </row>
    <row r="23" spans="1:3" x14ac:dyDescent="0.25">
      <c r="A23" s="12" t="s">
        <v>17</v>
      </c>
      <c r="B23" s="11" t="s">
        <v>30</v>
      </c>
      <c r="C23" s="12" t="s">
        <v>16</v>
      </c>
    </row>
    <row r="24" spans="1:3" x14ac:dyDescent="0.25">
      <c r="A24" s="12" t="s">
        <v>17</v>
      </c>
      <c r="B24" s="12">
        <v>24.5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4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12.5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5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11.5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2" workbookViewId="0">
      <selection activeCell="E37" sqref="E37"/>
    </sheetView>
  </sheetViews>
  <sheetFormatPr baseColWidth="10" defaultRowHeight="15" x14ac:dyDescent="0.25"/>
  <cols>
    <col min="3" max="3" width="30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2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G5" s="2"/>
      <c r="J5" s="11" t="s">
        <v>0</v>
      </c>
      <c r="K5">
        <f>COUNTIF(Primero,"=Ely")*3+COUNTIF(Segundo,"=Ely")*2+COUNTIF(Tercero,"=Ely")*1+COUNTIF(Cuarto,"=Ely")*0.5</f>
        <v>35.5</v>
      </c>
    </row>
    <row r="6" spans="3:11" x14ac:dyDescent="0.25">
      <c r="C6" s="23">
        <v>45569</v>
      </c>
      <c r="G6" s="2"/>
      <c r="J6" s="11" t="s">
        <v>46</v>
      </c>
      <c r="K6">
        <f>COUNTIF(Primero,"=Líder")*3+COUNTIF(Segundo,"=Líder")*2+COUNTIF(Tercero,"=Líder")*1+COUNTIF(Cuarto,"=Líder")*0.5</f>
        <v>32</v>
      </c>
    </row>
    <row r="7" spans="3:11" x14ac:dyDescent="0.25">
      <c r="C7" s="23">
        <v>45570</v>
      </c>
      <c r="G7" s="2"/>
      <c r="J7" s="11" t="s">
        <v>38</v>
      </c>
      <c r="K7">
        <f>COUNTIF(Primero,"=Oscar")*3+COUNTIF(Segundo,"=Oscar")*2+COUNTIF(Tercero,"=Oscar")*1+COUNTIF(Cuarto,"=Oscar")*0.5</f>
        <v>27.5</v>
      </c>
    </row>
    <row r="8" spans="3:11" x14ac:dyDescent="0.25">
      <c r="C8" s="23">
        <v>45571</v>
      </c>
      <c r="G8" s="2"/>
      <c r="J8" s="11" t="s">
        <v>45</v>
      </c>
      <c r="K8">
        <f>COUNTIF(Primero,"=Carlos")*3+COUNTIF(Segundo,"=Carlos")*2+COUNTIF(Tercero,"=Carlos")*1+COUNTIF(Cuarto,"=Carlos")*0.5</f>
        <v>24.5</v>
      </c>
    </row>
    <row r="9" spans="3:11" x14ac:dyDescent="0.25">
      <c r="C9" s="23">
        <v>45572</v>
      </c>
      <c r="G9" s="2"/>
      <c r="J9" s="11" t="s">
        <v>47</v>
      </c>
      <c r="K9">
        <f>COUNTIF(Primero,"=Tati")*3+COUNTIF(Segundo,"=Tati")*2+COUNTIF(Tercero,"=Tati")*1+COUNTIF(Cuarto,"=Tati")*0.5</f>
        <v>12.5</v>
      </c>
    </row>
    <row r="10" spans="3:11" x14ac:dyDescent="0.25">
      <c r="C10" s="23">
        <v>45573</v>
      </c>
      <c r="G10" s="2"/>
      <c r="J10" s="11" t="s">
        <v>48</v>
      </c>
      <c r="K10">
        <f>COUNTIF(Primero,"=Claudia")*3+COUNTIF(Segundo,"=Claudia")*2+COUNTIF(Tercero,"=Claudia")*1+COUNTIF(Cuarto,"=Claudia")*0.5</f>
        <v>11.5</v>
      </c>
    </row>
    <row r="11" spans="3:11" x14ac:dyDescent="0.25">
      <c r="C11" s="23">
        <v>45574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2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2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2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2" t="s">
        <v>38</v>
      </c>
    </row>
    <row r="17" spans="3:7" x14ac:dyDescent="0.25">
      <c r="C17" s="23">
        <v>45580</v>
      </c>
      <c r="G17" s="2"/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2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2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2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  <c r="G21" s="2"/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2" t="s">
        <v>0</v>
      </c>
    </row>
    <row r="23" spans="3:7" x14ac:dyDescent="0.25">
      <c r="C23" s="23">
        <v>45586</v>
      </c>
      <c r="D23" s="11" t="s">
        <v>46</v>
      </c>
      <c r="E23" s="11" t="s">
        <v>45</v>
      </c>
      <c r="F23" s="11" t="s">
        <v>0</v>
      </c>
      <c r="G23" s="2" t="s">
        <v>38</v>
      </c>
    </row>
    <row r="24" spans="3:7" x14ac:dyDescent="0.25">
      <c r="C24" s="23">
        <v>45587</v>
      </c>
      <c r="D24" s="11" t="s">
        <v>0</v>
      </c>
      <c r="E24" s="11" t="s">
        <v>48</v>
      </c>
      <c r="F24" s="11" t="s">
        <v>45</v>
      </c>
      <c r="G24" s="2"/>
    </row>
    <row r="25" spans="3:7" x14ac:dyDescent="0.25">
      <c r="C25" s="23">
        <v>45588</v>
      </c>
      <c r="D25" s="11" t="s">
        <v>0</v>
      </c>
      <c r="E25" s="11" t="s">
        <v>38</v>
      </c>
      <c r="F25" s="11" t="s">
        <v>48</v>
      </c>
      <c r="G25" s="2" t="s">
        <v>46</v>
      </c>
    </row>
    <row r="26" spans="3:7" x14ac:dyDescent="0.25">
      <c r="C26" s="23">
        <v>45588</v>
      </c>
      <c r="D26" s="11" t="s">
        <v>0</v>
      </c>
      <c r="E26" s="11" t="s">
        <v>46</v>
      </c>
      <c r="F26" s="11" t="s">
        <v>38</v>
      </c>
      <c r="G26" s="2" t="s">
        <v>45</v>
      </c>
    </row>
    <row r="27" spans="3:7" x14ac:dyDescent="0.25">
      <c r="C27" s="23">
        <v>45589</v>
      </c>
      <c r="D27" s="11" t="s">
        <v>48</v>
      </c>
      <c r="E27" s="11" t="s">
        <v>46</v>
      </c>
      <c r="F27" s="11" t="s">
        <v>0</v>
      </c>
      <c r="G27" s="2" t="s">
        <v>45</v>
      </c>
    </row>
    <row r="28" spans="3:7" x14ac:dyDescent="0.25">
      <c r="C28" s="23">
        <v>45590</v>
      </c>
      <c r="D28" s="11" t="s">
        <v>45</v>
      </c>
      <c r="E28" s="11" t="s">
        <v>38</v>
      </c>
      <c r="F28" s="11" t="s">
        <v>46</v>
      </c>
      <c r="G28" s="2" t="s">
        <v>48</v>
      </c>
    </row>
    <row r="29" spans="3:7" x14ac:dyDescent="0.25">
      <c r="C29" s="23">
        <v>45590</v>
      </c>
      <c r="D29" s="11" t="s">
        <v>38</v>
      </c>
      <c r="E29" s="11" t="s">
        <v>48</v>
      </c>
      <c r="F29" s="11" t="s">
        <v>46</v>
      </c>
      <c r="G29" s="2"/>
    </row>
    <row r="30" spans="3:7" x14ac:dyDescent="0.25">
      <c r="C30" s="23">
        <v>45592</v>
      </c>
      <c r="D30" s="11" t="s">
        <v>46</v>
      </c>
      <c r="E30" s="11" t="s">
        <v>38</v>
      </c>
      <c r="F30" s="11" t="s">
        <v>0</v>
      </c>
      <c r="G30" s="2"/>
    </row>
    <row r="31" spans="3:7" x14ac:dyDescent="0.25">
      <c r="C31" s="23">
        <v>45592</v>
      </c>
      <c r="D31" s="11" t="s">
        <v>46</v>
      </c>
      <c r="E31" s="11" t="s">
        <v>0</v>
      </c>
      <c r="F31" s="11" t="s">
        <v>45</v>
      </c>
      <c r="G31" s="2" t="s">
        <v>38</v>
      </c>
    </row>
    <row r="32" spans="3:7" x14ac:dyDescent="0.25">
      <c r="C32" s="23">
        <v>45593</v>
      </c>
      <c r="D32" s="11" t="s">
        <v>37</v>
      </c>
      <c r="E32" s="11" t="s">
        <v>46</v>
      </c>
      <c r="F32" s="11" t="s">
        <v>0</v>
      </c>
      <c r="G32" s="2" t="s">
        <v>38</v>
      </c>
    </row>
    <row r="33" spans="3:7" x14ac:dyDescent="0.25">
      <c r="C33" s="23">
        <v>45593</v>
      </c>
      <c r="D33" s="11" t="s">
        <v>45</v>
      </c>
      <c r="E33" s="11" t="s">
        <v>46</v>
      </c>
      <c r="F33" s="11" t="s">
        <v>0</v>
      </c>
      <c r="G33" s="2" t="s">
        <v>38</v>
      </c>
    </row>
    <row r="34" spans="3:7" x14ac:dyDescent="0.25">
      <c r="C34" s="23">
        <v>45594</v>
      </c>
      <c r="D34" s="11" t="s">
        <v>0</v>
      </c>
      <c r="E34" s="11" t="s">
        <v>46</v>
      </c>
      <c r="F34" s="11" t="s">
        <v>38</v>
      </c>
      <c r="G34" s="2"/>
    </row>
    <row r="35" spans="3:7" x14ac:dyDescent="0.25">
      <c r="C35" s="23">
        <v>45595</v>
      </c>
      <c r="G35" s="2"/>
    </row>
    <row r="36" spans="3:7" x14ac:dyDescent="0.25">
      <c r="C36" s="23">
        <v>45596</v>
      </c>
      <c r="D36" s="11" t="s">
        <v>46</v>
      </c>
      <c r="E36" s="11" t="s">
        <v>38</v>
      </c>
      <c r="F36" s="11" t="s">
        <v>0</v>
      </c>
      <c r="G36" s="2"/>
    </row>
    <row r="37" spans="3:7" x14ac:dyDescent="0.25">
      <c r="C37" s="24"/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2024-11-01T19:11:03Z</dcterms:modified>
</cp:coreProperties>
</file>