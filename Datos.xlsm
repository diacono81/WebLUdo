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9_Didactico\Curso Front end 2022-2023\Locali7\WebLUdo\"/>
    </mc:Choice>
  </mc:AlternateContent>
  <xr:revisionPtr revIDLastSave="0" documentId="13_ncr:1_{816D1269-7B29-415C-92BC-54CD5BF06F35}" xr6:coauthVersionLast="47" xr6:coauthVersionMax="47" xr10:uidLastSave="{00000000-0000-0000-0000-000000000000}"/>
  <bookViews>
    <workbookView xWindow="120" yWindow="1725" windowWidth="21600" windowHeight="11295" activeTab="3" xr2:uid="{00000000-000D-0000-FFFF-FFFF00000000}"/>
  </bookViews>
  <sheets>
    <sheet name="Hoja1" sheetId="1" r:id="rId1"/>
    <sheet name="Hoja2" sheetId="2" r:id="rId2"/>
    <sheet name="Hoja3" sheetId="5" r:id="rId3"/>
    <sheet name="Codigo" sheetId="3" r:id="rId4"/>
    <sheet name="Seguimineto" sheetId="6" r:id="rId5"/>
  </sheets>
  <definedNames>
    <definedName name="Andrés">Seguimineto!$K$13</definedName>
    <definedName name="Carlos">Seguimineto!$K$9</definedName>
    <definedName name="Chalo">Seguimineto!$K$15</definedName>
    <definedName name="Claudia">Seguimineto!$K$11</definedName>
    <definedName name="Cuarto" localSheetId="4">Seguimineto!$G$4:$G$36</definedName>
    <definedName name="Ely">Seguimineto!$K$5</definedName>
    <definedName name="Erik">Seguimineto!$K$14</definedName>
    <definedName name="Líder">Seguimineto!$K$8</definedName>
    <definedName name="Marce">Seguimineto!$K$10</definedName>
    <definedName name="Oscar">Seguimineto!$K$7</definedName>
    <definedName name="Primero" localSheetId="4">Seguimineto!$D$4:$D$36</definedName>
    <definedName name="Segundo" localSheetId="4">Seguimineto!$E$4:$E$36</definedName>
    <definedName name="TAti">Seguimineto!$K$6</definedName>
    <definedName name="Tercero" localSheetId="4">Seguimineto!$F$4:$F$36</definedName>
    <definedName name="Yeni">Seguimineto!$K$12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6" l="1"/>
  <c r="D16" i="1" s="1"/>
  <c r="K14" i="6"/>
  <c r="D17" i="1" s="1"/>
  <c r="K13" i="6"/>
  <c r="D13" i="1" s="1"/>
  <c r="K12" i="6"/>
  <c r="D15" i="1" s="1"/>
  <c r="K11" i="6"/>
  <c r="D14" i="1" s="1"/>
  <c r="K10" i="6"/>
  <c r="K9" i="6"/>
  <c r="K8" i="6"/>
  <c r="K7" i="6"/>
  <c r="K6" i="6"/>
  <c r="K5" i="6"/>
</calcChain>
</file>

<file path=xl/sharedStrings.xml><?xml version="1.0" encoding="utf-8"?>
<sst xmlns="http://schemas.openxmlformats.org/spreadsheetml/2006/main" count="309" uniqueCount="74">
  <si>
    <t>Ely</t>
  </si>
  <si>
    <t>JUGADORES</t>
  </si>
  <si>
    <t>PUNTOS</t>
  </si>
  <si>
    <t>Andrés</t>
  </si>
  <si>
    <t>GANADOR DE ABRIL 2024</t>
  </si>
  <si>
    <t>GANADOR DE MAYO 2024</t>
  </si>
  <si>
    <t>GANADOR DE JUNIO 2024</t>
  </si>
  <si>
    <t>GANADOR DE JULIO 2024</t>
  </si>
  <si>
    <t>GANADOR DE AGOS 2024</t>
  </si>
  <si>
    <t>GANADOR DE SEPT 2024</t>
  </si>
  <si>
    <t>GANADOR DE OCT 2024</t>
  </si>
  <si>
    <t>GANADOR DE NOV 2024</t>
  </si>
  <si>
    <t>GANADOR DE DIC 2024</t>
  </si>
  <si>
    <t>GANADOR ENERO 2024</t>
  </si>
  <si>
    <t>GANADOR DE FeB 2024</t>
  </si>
  <si>
    <t>GANADOR DE MAR 2024</t>
  </si>
  <si>
    <t>&lt;/td&gt;</t>
  </si>
  <si>
    <t>&lt;td&gt;</t>
  </si>
  <si>
    <t>&lt;tr&gt;</t>
  </si>
  <si>
    <t>&lt;/tr&gt;</t>
  </si>
  <si>
    <t>Posición</t>
  </si>
  <si>
    <t>1 &amp;#127942</t>
  </si>
  <si>
    <t>2 &amp;#129352</t>
  </si>
  <si>
    <t>3 &amp;#129352</t>
  </si>
  <si>
    <t>1 &lt;img src="imagen/primer lugar.gif" alt="PRIMER LUGAR" class="Primero"&gt;</t>
  </si>
  <si>
    <t>2 &lt;img src="imagen/segundo lugar.gif" alt="SEGUNDO LUGAR" class="Primero"&gt;</t>
  </si>
  <si>
    <t>3 &lt;img src="imagen/tercer lugar.gif" alt="TERCER LUGAR" class="Primero"&gt;</t>
  </si>
  <si>
    <t>Líder &lt;img src="imagen/Líder.jpeg" alt="Fondo" class="FotoPerfil"&gt;</t>
  </si>
  <si>
    <t>Erik &lt;img src="imagen/Erik.jpeg" alt="Fondo" class="FotoPerfil"&gt;</t>
  </si>
  <si>
    <t>Yeni &lt;img src="imagen/Yeni.jpeg" alt="Fondo" class="FotoPerfil"&gt;</t>
  </si>
  <si>
    <t>Carlos &lt;img src="imagen/Carlos.jpg" alt="Fondo" class="FotoPerfil"&gt;</t>
  </si>
  <si>
    <t>Oscar &lt;img src="imagen/Oscar.jpeg" alt="Fondo" class="FotoPerfil"&gt;</t>
  </si>
  <si>
    <t>Claudia &lt;img src="imagen/Claudia2.jpeg" alt="Fondo" class="FotoPerfil"&gt;</t>
  </si>
  <si>
    <t>Ely &lt;img src="imagen/Ely.jpeg" alt="Fondo" class="FotoPerfil"&gt;</t>
  </si>
  <si>
    <t>Chalo &lt;img src="imagen/Chalo.jpeg" alt="Fondo" class="FotoPerfil"&gt;</t>
  </si>
  <si>
    <t>Tatiana &lt;img src="imagen/Tati.jpeg" alt="Fondo" class="FotoPerfil"&gt;</t>
  </si>
  <si>
    <t>Marce</t>
  </si>
  <si>
    <t>Tati</t>
  </si>
  <si>
    <t>Oscar</t>
  </si>
  <si>
    <t>Jueves 19 Septiembre</t>
  </si>
  <si>
    <t>Fecha</t>
  </si>
  <si>
    <t>Primero +3</t>
  </si>
  <si>
    <t>Segundo +2</t>
  </si>
  <si>
    <t>TERCERO +1</t>
  </si>
  <si>
    <t>CUARTO +0.5</t>
  </si>
  <si>
    <t>Lunes 02 Sep</t>
  </si>
  <si>
    <t>Carlos</t>
  </si>
  <si>
    <t>Líder</t>
  </si>
  <si>
    <t>Martes 03 Sep</t>
  </si>
  <si>
    <t>Miércoles 04 Sep</t>
  </si>
  <si>
    <t>TAti</t>
  </si>
  <si>
    <t>Jueves 05 Sep</t>
  </si>
  <si>
    <t>Viernes 06 Sep</t>
  </si>
  <si>
    <t>Lunes 09 Sep</t>
  </si>
  <si>
    <t>Martes 10 Sep</t>
  </si>
  <si>
    <t>Miercoles 11 Sep</t>
  </si>
  <si>
    <t>Jueves 12 Sep</t>
  </si>
  <si>
    <t>Sábado 14 Sep</t>
  </si>
  <si>
    <t>Domingo 15 Sep</t>
  </si>
  <si>
    <t>Lunes 16 Sep</t>
  </si>
  <si>
    <t>Martes 17 Septiembre</t>
  </si>
  <si>
    <t>Miércoles 18 Septiembre</t>
  </si>
  <si>
    <t>Viernes 20 Septiembre</t>
  </si>
  <si>
    <t>Domingo 22 Septiembre</t>
  </si>
  <si>
    <t>Lunes 23 Septiembre</t>
  </si>
  <si>
    <t>Martes 24 Septiembre</t>
  </si>
  <si>
    <t>Claudia</t>
  </si>
  <si>
    <t>Yeni</t>
  </si>
  <si>
    <t>Erik</t>
  </si>
  <si>
    <t>Chalo</t>
  </si>
  <si>
    <t>Nombre</t>
  </si>
  <si>
    <t>Puntaje</t>
  </si>
  <si>
    <t>Miercoles 25 Septiembre</t>
  </si>
  <si>
    <t>Jueves 26 Septiembre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</si>
</sst>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ADLaM Display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3" fillId="0" borderId="10" xfId="0" applyFont="1" applyBorder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2</xdr:row>
      <xdr:rowOff>76200</xdr:rowOff>
    </xdr:from>
    <xdr:to>
      <xdr:col>3</xdr:col>
      <xdr:colOff>838200</xdr:colOff>
      <xdr:row>4</xdr:row>
      <xdr:rowOff>66675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8174" y="457200"/>
          <a:ext cx="3086101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600">
              <a:effectLst>
                <a:outerShdw blurRad="50800" dist="50800" dir="5400000" algn="ctr" rotWithShape="0">
                  <a:srgbClr val="000000"/>
                </a:outerShdw>
              </a:effectLst>
            </a:rPr>
            <a:t>TORNEO MENSUAL JUNIO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4</xdr:row>
          <xdr:rowOff>85725</xdr:rowOff>
        </xdr:from>
        <xdr:to>
          <xdr:col>7</xdr:col>
          <xdr:colOff>447675</xdr:colOff>
          <xdr:row>6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574676</xdr:colOff>
      <xdr:row>10</xdr:row>
      <xdr:rowOff>547291</xdr:rowOff>
    </xdr:from>
    <xdr:to>
      <xdr:col>15</xdr:col>
      <xdr:colOff>289984</xdr:colOff>
      <xdr:row>15</xdr:row>
      <xdr:rowOff>59267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56259" y="4135041"/>
          <a:ext cx="942974" cy="9036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845D5D-A90C-4978-A556-F6D2181A9557}" name="Tabla1" displayName="Tabla1" ref="C6:D17" totalsRowShown="0" headerRowDxfId="4" dataDxfId="3">
  <autoFilter ref="C6:D17" xr:uid="{EE845D5D-A90C-4978-A556-F6D2181A9557}"/>
  <sortState xmlns:xlrd2="http://schemas.microsoft.com/office/spreadsheetml/2017/richdata2" ref="C7:D17">
    <sortCondition descending="1" ref="D6:D17"/>
  </sortState>
  <tableColumns count="2">
    <tableColumn id="2" xr3:uid="{A743CF88-F72F-4B9C-82CA-6217DB57CAD4}" name="JUGADORES" dataDxfId="2"/>
    <tableColumn id="3" xr3:uid="{C73A6390-D381-4861-B012-C92B83601DFF}" name="PUNTO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66298D-2CCA-4E81-9D0D-11B9F28EAD8A}" name="Tabla2" displayName="Tabla2" ref="J4:K15" totalsRowShown="0">
  <autoFilter ref="J4:K15" xr:uid="{AE66298D-2CCA-4E81-9D0D-11B9F28EAD8A}"/>
  <sortState xmlns:xlrd2="http://schemas.microsoft.com/office/spreadsheetml/2017/richdata2" ref="J5:K15">
    <sortCondition descending="1" ref="K4:K15"/>
  </sortState>
  <tableColumns count="2">
    <tableColumn id="1" xr3:uid="{07128475-A66C-4F93-9EAE-B07B5FA0FA01}" name="Nombre" dataDxfId="0"/>
    <tableColumn id="2" xr3:uid="{8834DFD4-B941-42D3-BE18-D31A38C99BE7}" name="Puntaj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29"/>
  <sheetViews>
    <sheetView showGridLines="0" zoomScale="90" zoomScaleNormal="90" workbookViewId="0">
      <selection activeCell="B17" sqref="B17:D17"/>
    </sheetView>
  </sheetViews>
  <sheetFormatPr baseColWidth="10" defaultColWidth="9.140625" defaultRowHeight="15" x14ac:dyDescent="0.25"/>
  <cols>
    <col min="2" max="2" width="70.140625" bestFit="1" customWidth="1"/>
    <col min="3" max="3" width="79.42578125" bestFit="1" customWidth="1"/>
    <col min="4" max="4" width="13" customWidth="1"/>
  </cols>
  <sheetData>
    <row r="2" spans="1:4" x14ac:dyDescent="0.25">
      <c r="A2" s="1"/>
    </row>
    <row r="4" spans="1:4" ht="16.5" x14ac:dyDescent="0.3">
      <c r="B4" s="23"/>
      <c r="C4" s="23"/>
      <c r="D4" s="23"/>
    </row>
    <row r="5" spans="1:4" ht="16.5" x14ac:dyDescent="0.3">
      <c r="B5" s="9"/>
      <c r="C5" s="9"/>
      <c r="D5" s="9"/>
    </row>
    <row r="6" spans="1:4" ht="16.5" x14ac:dyDescent="0.25">
      <c r="B6" s="15" t="s">
        <v>20</v>
      </c>
      <c r="C6" s="10" t="s">
        <v>1</v>
      </c>
      <c r="D6" s="10" t="s">
        <v>2</v>
      </c>
    </row>
    <row r="7" spans="1:4" ht="16.5" x14ac:dyDescent="0.25">
      <c r="B7" s="16" t="s">
        <v>24</v>
      </c>
      <c r="C7" s="10" t="s">
        <v>33</v>
      </c>
      <c r="D7" s="10">
        <v>43.5</v>
      </c>
    </row>
    <row r="8" spans="1:4" ht="16.5" x14ac:dyDescent="0.25">
      <c r="B8" s="16" t="s">
        <v>25</v>
      </c>
      <c r="C8" s="10" t="s">
        <v>35</v>
      </c>
      <c r="D8" s="10">
        <v>42</v>
      </c>
    </row>
    <row r="9" spans="1:4" ht="16.5" x14ac:dyDescent="0.25">
      <c r="B9" s="16" t="s">
        <v>26</v>
      </c>
      <c r="C9" s="10" t="s">
        <v>31</v>
      </c>
      <c r="D9" s="10">
        <v>34</v>
      </c>
    </row>
    <row r="10" spans="1:4" ht="16.5" x14ac:dyDescent="0.25">
      <c r="B10" s="18">
        <v>4</v>
      </c>
      <c r="C10" s="10" t="s">
        <v>27</v>
      </c>
      <c r="D10" s="10">
        <v>27</v>
      </c>
    </row>
    <row r="11" spans="1:4" ht="16.5" x14ac:dyDescent="0.25">
      <c r="B11" s="18">
        <v>5</v>
      </c>
      <c r="C11" s="17" t="s">
        <v>30</v>
      </c>
      <c r="D11" s="10">
        <v>25.5</v>
      </c>
    </row>
    <row r="12" spans="1:4" ht="16.5" x14ac:dyDescent="0.25">
      <c r="B12" s="18">
        <v>6</v>
      </c>
      <c r="C12" s="10" t="s">
        <v>36</v>
      </c>
      <c r="D12" s="10">
        <v>13</v>
      </c>
    </row>
    <row r="13" spans="1:4" ht="16.5" x14ac:dyDescent="0.25">
      <c r="B13" s="18">
        <v>7</v>
      </c>
      <c r="C13" s="10" t="s">
        <v>3</v>
      </c>
      <c r="D13" s="10">
        <f>Andrés</f>
        <v>0</v>
      </c>
    </row>
    <row r="14" spans="1:4" ht="16.5" x14ac:dyDescent="0.25">
      <c r="B14" s="18">
        <v>7</v>
      </c>
      <c r="C14" s="10" t="s">
        <v>32</v>
      </c>
      <c r="D14" s="10">
        <f>Claudia</f>
        <v>0</v>
      </c>
    </row>
    <row r="15" spans="1:4" ht="16.5" x14ac:dyDescent="0.25">
      <c r="B15" s="18">
        <v>7</v>
      </c>
      <c r="C15" s="10" t="s">
        <v>29</v>
      </c>
      <c r="D15" s="10">
        <f>Yeni</f>
        <v>0</v>
      </c>
    </row>
    <row r="16" spans="1:4" ht="16.5" x14ac:dyDescent="0.25">
      <c r="B16" s="18">
        <v>7</v>
      </c>
      <c r="C16" s="10" t="s">
        <v>34</v>
      </c>
      <c r="D16" s="10">
        <f>Chalo</f>
        <v>0</v>
      </c>
    </row>
    <row r="17" spans="2:4" ht="16.5" x14ac:dyDescent="0.25">
      <c r="B17" s="19">
        <v>7</v>
      </c>
      <c r="C17" s="10" t="s">
        <v>28</v>
      </c>
      <c r="D17" s="10">
        <f>Erik</f>
        <v>0</v>
      </c>
    </row>
    <row r="27" spans="2:4" x14ac:dyDescent="0.25">
      <c r="B27" s="16" t="s">
        <v>24</v>
      </c>
    </row>
    <row r="28" spans="2:4" x14ac:dyDescent="0.25">
      <c r="B28" s="13" t="s">
        <v>25</v>
      </c>
    </row>
    <row r="29" spans="2:4" x14ac:dyDescent="0.25">
      <c r="B29" s="14" t="s">
        <v>26</v>
      </c>
    </row>
  </sheetData>
  <mergeCells count="1">
    <mergeCell ref="B4:D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asarDAtos">
                <anchor moveWithCells="1" sizeWithCells="1">
                  <from>
                    <xdr:col>5</xdr:col>
                    <xdr:colOff>314325</xdr:colOff>
                    <xdr:row>4</xdr:row>
                    <xdr:rowOff>85725</xdr:rowOff>
                  </from>
                  <to>
                    <xdr:col>7</xdr:col>
                    <xdr:colOff>447675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A3F8-858E-461F-BD56-CFD8590DE9CC}">
  <sheetPr codeName="Hoja2"/>
  <dimension ref="B2:L27"/>
  <sheetViews>
    <sheetView workbookViewId="0">
      <selection activeCell="B26" sqref="B26"/>
    </sheetView>
  </sheetViews>
  <sheetFormatPr baseColWidth="10" defaultRowHeight="15" x14ac:dyDescent="0.25"/>
  <sheetData>
    <row r="2" spans="2:12" ht="15.75" thickBot="1" x14ac:dyDescent="0.3"/>
    <row r="3" spans="2:12" ht="15.75" thickBot="1" x14ac:dyDescent="0.3">
      <c r="B3" s="4" t="s">
        <v>13</v>
      </c>
      <c r="C3" s="5"/>
      <c r="E3" s="4" t="s">
        <v>4</v>
      </c>
      <c r="F3" s="5"/>
      <c r="H3" s="4" t="s">
        <v>7</v>
      </c>
      <c r="I3" s="5"/>
      <c r="K3" s="4" t="s">
        <v>10</v>
      </c>
      <c r="L3" s="5"/>
    </row>
    <row r="4" spans="2:12" x14ac:dyDescent="0.25">
      <c r="B4" s="6">
        <v>1</v>
      </c>
      <c r="C4" s="2"/>
      <c r="E4" s="6">
        <v>1</v>
      </c>
      <c r="F4" s="2"/>
      <c r="H4" s="6">
        <v>1</v>
      </c>
      <c r="I4" s="2"/>
      <c r="K4" s="6">
        <v>1</v>
      </c>
      <c r="L4" s="2"/>
    </row>
    <row r="5" spans="2:12" x14ac:dyDescent="0.25">
      <c r="B5" s="7">
        <v>2</v>
      </c>
      <c r="C5" s="2"/>
      <c r="E5" s="7">
        <v>2</v>
      </c>
      <c r="F5" s="2"/>
      <c r="H5" s="7">
        <v>2</v>
      </c>
      <c r="I5" s="2"/>
      <c r="K5" s="7">
        <v>2</v>
      </c>
      <c r="L5" s="2"/>
    </row>
    <row r="6" spans="2:12" ht="15.75" thickBot="1" x14ac:dyDescent="0.3">
      <c r="B6" s="8">
        <v>3</v>
      </c>
      <c r="C6" s="3"/>
      <c r="E6" s="8">
        <v>3</v>
      </c>
      <c r="F6" s="3"/>
      <c r="H6" s="8">
        <v>3</v>
      </c>
      <c r="I6" s="3"/>
      <c r="K6" s="8">
        <v>3</v>
      </c>
      <c r="L6" s="3"/>
    </row>
    <row r="8" spans="2:12" ht="15.75" thickBot="1" x14ac:dyDescent="0.3"/>
    <row r="9" spans="2:12" ht="15.75" thickBot="1" x14ac:dyDescent="0.3">
      <c r="B9" s="4" t="s">
        <v>14</v>
      </c>
      <c r="C9" s="5"/>
      <c r="E9" s="4" t="s">
        <v>5</v>
      </c>
      <c r="F9" s="5"/>
      <c r="H9" s="4" t="s">
        <v>8</v>
      </c>
      <c r="I9" s="5"/>
      <c r="K9" s="4" t="s">
        <v>11</v>
      </c>
      <c r="L9" s="5"/>
    </row>
    <row r="10" spans="2:12" x14ac:dyDescent="0.25">
      <c r="B10" s="6">
        <v>1</v>
      </c>
      <c r="C10" s="2"/>
      <c r="E10" s="6">
        <v>1</v>
      </c>
      <c r="F10" s="2"/>
      <c r="H10" s="6">
        <v>1</v>
      </c>
      <c r="I10" s="2"/>
      <c r="K10" s="6">
        <v>1</v>
      </c>
      <c r="L10" s="2"/>
    </row>
    <row r="11" spans="2:12" x14ac:dyDescent="0.25">
      <c r="B11" s="7">
        <v>2</v>
      </c>
      <c r="C11" s="2"/>
      <c r="E11" s="7">
        <v>2</v>
      </c>
      <c r="F11" s="2"/>
      <c r="H11" s="7">
        <v>2</v>
      </c>
      <c r="I11" s="2"/>
      <c r="K11" s="7">
        <v>2</v>
      </c>
      <c r="L11" s="2"/>
    </row>
    <row r="12" spans="2:12" ht="15.75" thickBot="1" x14ac:dyDescent="0.3">
      <c r="B12" s="8">
        <v>3</v>
      </c>
      <c r="C12" s="3"/>
      <c r="E12" s="8">
        <v>3</v>
      </c>
      <c r="F12" s="3"/>
      <c r="H12" s="8">
        <v>3</v>
      </c>
      <c r="I12" s="3"/>
      <c r="K12" s="8">
        <v>3</v>
      </c>
      <c r="L12" s="3"/>
    </row>
    <row r="14" spans="2:12" ht="15.75" thickBot="1" x14ac:dyDescent="0.3"/>
    <row r="15" spans="2:12" ht="15.75" thickBot="1" x14ac:dyDescent="0.3">
      <c r="B15" s="4" t="s">
        <v>15</v>
      </c>
      <c r="C15" s="5"/>
      <c r="E15" s="4" t="s">
        <v>6</v>
      </c>
      <c r="F15" s="5"/>
      <c r="H15" s="4" t="s">
        <v>9</v>
      </c>
      <c r="I15" s="5"/>
      <c r="K15" s="4" t="s">
        <v>12</v>
      </c>
      <c r="L15" s="5"/>
    </row>
    <row r="16" spans="2:12" x14ac:dyDescent="0.25">
      <c r="B16" s="6">
        <v>1</v>
      </c>
      <c r="C16" s="2"/>
      <c r="E16" s="6">
        <v>1</v>
      </c>
      <c r="F16" s="2"/>
      <c r="H16" s="6">
        <v>1</v>
      </c>
      <c r="I16" s="2"/>
      <c r="K16" s="6">
        <v>1</v>
      </c>
      <c r="L16" s="2"/>
    </row>
    <row r="17" spans="2:12" x14ac:dyDescent="0.25">
      <c r="B17" s="7">
        <v>2</v>
      </c>
      <c r="C17" s="2"/>
      <c r="E17" s="7">
        <v>2</v>
      </c>
      <c r="F17" s="2"/>
      <c r="H17" s="7">
        <v>2</v>
      </c>
      <c r="I17" s="2"/>
      <c r="K17" s="7">
        <v>2</v>
      </c>
      <c r="L17" s="2"/>
    </row>
    <row r="18" spans="2:12" ht="15.75" thickBot="1" x14ac:dyDescent="0.3">
      <c r="B18" s="8">
        <v>3</v>
      </c>
      <c r="C18" s="3"/>
      <c r="E18" s="8">
        <v>3</v>
      </c>
      <c r="F18" s="3"/>
      <c r="H18" s="8">
        <v>3</v>
      </c>
      <c r="I18" s="3"/>
      <c r="K18" s="8">
        <v>3</v>
      </c>
      <c r="L18" s="3"/>
    </row>
    <row r="25" spans="2:12" x14ac:dyDescent="0.25">
      <c r="B25" t="s">
        <v>21</v>
      </c>
    </row>
    <row r="26" spans="2:12" x14ac:dyDescent="0.25">
      <c r="B26" t="s">
        <v>22</v>
      </c>
    </row>
    <row r="27" spans="2:12" x14ac:dyDescent="0.25">
      <c r="B27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48D12-9F6F-45B2-841B-EB862D5CB321}">
  <dimension ref="A1:C7"/>
  <sheetViews>
    <sheetView workbookViewId="0">
      <selection activeCell="B14" sqref="B14"/>
    </sheetView>
  </sheetViews>
  <sheetFormatPr baseColWidth="10" defaultRowHeight="15" x14ac:dyDescent="0.25"/>
  <sheetData>
    <row r="1" spans="1:3" x14ac:dyDescent="0.25">
      <c r="A1" s="12" t="s">
        <v>18</v>
      </c>
    </row>
    <row r="2" spans="1:3" x14ac:dyDescent="0.25">
      <c r="A2" s="12" t="s">
        <v>17</v>
      </c>
      <c r="B2" t="s">
        <v>39</v>
      </c>
      <c r="C2" s="12" t="s">
        <v>16</v>
      </c>
    </row>
    <row r="3" spans="1:3" x14ac:dyDescent="0.25">
      <c r="A3" s="12" t="s">
        <v>17</v>
      </c>
      <c r="B3" t="s">
        <v>38</v>
      </c>
      <c r="C3" s="12" t="s">
        <v>16</v>
      </c>
    </row>
    <row r="4" spans="1:3" x14ac:dyDescent="0.25">
      <c r="A4" s="12" t="s">
        <v>17</v>
      </c>
      <c r="B4" t="s">
        <v>0</v>
      </c>
      <c r="C4" s="12" t="s">
        <v>16</v>
      </c>
    </row>
    <row r="5" spans="1:3" x14ac:dyDescent="0.25">
      <c r="A5" s="12" t="s">
        <v>17</v>
      </c>
      <c r="B5" t="s">
        <v>37</v>
      </c>
      <c r="C5" s="12" t="s">
        <v>16</v>
      </c>
    </row>
    <row r="6" spans="1:3" x14ac:dyDescent="0.25">
      <c r="A6" s="12" t="s">
        <v>17</v>
      </c>
      <c r="C6" s="12" t="s">
        <v>16</v>
      </c>
    </row>
    <row r="7" spans="1:3" x14ac:dyDescent="0.25">
      <c r="A7" s="12" t="s">
        <v>19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2111-6A42-4F60-A60C-095D0BFE8DF2}">
  <sheetPr codeName="Hoja3"/>
  <dimension ref="A3:F67"/>
  <sheetViews>
    <sheetView tabSelected="1" zoomScale="85" zoomScaleNormal="85" workbookViewId="0"/>
  </sheetViews>
  <sheetFormatPr baseColWidth="10" defaultRowHeight="15" x14ac:dyDescent="0.25"/>
  <cols>
    <col min="1" max="3" width="11.42578125" style="12"/>
    <col min="6" max="6" width="11.42578125" style="11"/>
  </cols>
  <sheetData>
    <row r="3" spans="1:3" x14ac:dyDescent="0.25">
      <c r="A3" s="12" t="s">
        <v>18</v>
      </c>
    </row>
    <row r="4" spans="1:3" x14ac:dyDescent="0.25">
      <c r="A4" s="12" t="s">
        <v>17</v>
      </c>
      <c r="B4" s="12" t="s">
        <v>24</v>
      </c>
      <c r="C4" s="12" t="s">
        <v>16</v>
      </c>
    </row>
    <row r="5" spans="1:3" x14ac:dyDescent="0.25">
      <c r="A5" s="12" t="s">
        <v>17</v>
      </c>
      <c r="B5" s="12" t="s">
        <v>33</v>
      </c>
      <c r="C5" s="12" t="s">
        <v>16</v>
      </c>
    </row>
    <row r="6" spans="1:3" x14ac:dyDescent="0.25">
      <c r="A6" s="12" t="s">
        <v>17</v>
      </c>
      <c r="B6" s="12">
        <v>43.5</v>
      </c>
      <c r="C6" s="12" t="s">
        <v>16</v>
      </c>
    </row>
    <row r="7" spans="1:3" x14ac:dyDescent="0.25">
      <c r="A7" s="12" t="s">
        <v>19</v>
      </c>
    </row>
    <row r="9" spans="1:3" x14ac:dyDescent="0.25">
      <c r="A9" s="12" t="s">
        <v>18</v>
      </c>
    </row>
    <row r="10" spans="1:3" x14ac:dyDescent="0.25">
      <c r="A10" s="12" t="s">
        <v>17</v>
      </c>
      <c r="B10" s="12" t="s">
        <v>25</v>
      </c>
      <c r="C10" s="12" t="s">
        <v>16</v>
      </c>
    </row>
    <row r="11" spans="1:3" x14ac:dyDescent="0.25">
      <c r="A11" s="12" t="s">
        <v>17</v>
      </c>
      <c r="B11" s="11" t="s">
        <v>35</v>
      </c>
      <c r="C11" s="12" t="s">
        <v>16</v>
      </c>
    </row>
    <row r="12" spans="1:3" x14ac:dyDescent="0.25">
      <c r="A12" s="12" t="s">
        <v>17</v>
      </c>
      <c r="B12" s="12">
        <v>42</v>
      </c>
      <c r="C12" s="12" t="s">
        <v>16</v>
      </c>
    </row>
    <row r="13" spans="1:3" x14ac:dyDescent="0.25">
      <c r="A13" s="12" t="s">
        <v>19</v>
      </c>
    </row>
    <row r="15" spans="1:3" x14ac:dyDescent="0.25">
      <c r="A15" s="12" t="s">
        <v>18</v>
      </c>
    </row>
    <row r="16" spans="1:3" x14ac:dyDescent="0.25">
      <c r="A16" s="12" t="s">
        <v>17</v>
      </c>
      <c r="B16" s="12" t="s">
        <v>26</v>
      </c>
      <c r="C16" s="12" t="s">
        <v>16</v>
      </c>
    </row>
    <row r="17" spans="1:3" x14ac:dyDescent="0.25">
      <c r="A17" s="12" t="s">
        <v>17</v>
      </c>
      <c r="B17" s="11" t="s">
        <v>31</v>
      </c>
      <c r="C17" s="12" t="s">
        <v>16</v>
      </c>
    </row>
    <row r="18" spans="1:3" x14ac:dyDescent="0.25">
      <c r="A18" s="12" t="s">
        <v>17</v>
      </c>
      <c r="B18" s="12">
        <v>34</v>
      </c>
      <c r="C18" s="12" t="s">
        <v>16</v>
      </c>
    </row>
    <row r="19" spans="1:3" x14ac:dyDescent="0.25">
      <c r="A19" s="12" t="s">
        <v>19</v>
      </c>
    </row>
    <row r="21" spans="1:3" x14ac:dyDescent="0.25">
      <c r="A21" s="12" t="s">
        <v>18</v>
      </c>
    </row>
    <row r="22" spans="1:3" x14ac:dyDescent="0.25">
      <c r="A22" s="12" t="s">
        <v>17</v>
      </c>
      <c r="B22" s="12">
        <v>4</v>
      </c>
      <c r="C22" s="12" t="s">
        <v>16</v>
      </c>
    </row>
    <row r="23" spans="1:3" x14ac:dyDescent="0.25">
      <c r="A23" s="12" t="s">
        <v>17</v>
      </c>
      <c r="B23" s="11" t="s">
        <v>27</v>
      </c>
      <c r="C23" s="12" t="s">
        <v>16</v>
      </c>
    </row>
    <row r="24" spans="1:3" x14ac:dyDescent="0.25">
      <c r="A24" s="12" t="s">
        <v>17</v>
      </c>
      <c r="B24" s="12">
        <v>27</v>
      </c>
      <c r="C24" s="12" t="s">
        <v>16</v>
      </c>
    </row>
    <row r="25" spans="1:3" x14ac:dyDescent="0.25">
      <c r="A25" s="12" t="s">
        <v>19</v>
      </c>
    </row>
    <row r="27" spans="1:3" x14ac:dyDescent="0.25">
      <c r="A27" s="12" t="s">
        <v>18</v>
      </c>
    </row>
    <row r="28" spans="1:3" x14ac:dyDescent="0.25">
      <c r="A28" s="12" t="s">
        <v>17</v>
      </c>
      <c r="B28" s="12">
        <v>5</v>
      </c>
      <c r="C28" s="12" t="s">
        <v>16</v>
      </c>
    </row>
    <row r="29" spans="1:3" x14ac:dyDescent="0.25">
      <c r="A29" s="12" t="s">
        <v>17</v>
      </c>
      <c r="B29" s="11" t="s">
        <v>30</v>
      </c>
      <c r="C29" s="12" t="s">
        <v>16</v>
      </c>
    </row>
    <row r="30" spans="1:3" x14ac:dyDescent="0.25">
      <c r="A30" s="12" t="s">
        <v>17</v>
      </c>
      <c r="B30" s="12">
        <v>25.5</v>
      </c>
      <c r="C30" s="12" t="s">
        <v>16</v>
      </c>
    </row>
    <row r="31" spans="1:3" x14ac:dyDescent="0.25">
      <c r="A31" s="12" t="s">
        <v>19</v>
      </c>
    </row>
    <row r="33" spans="1:3" x14ac:dyDescent="0.25">
      <c r="A33" s="12" t="s">
        <v>18</v>
      </c>
    </row>
    <row r="34" spans="1:3" x14ac:dyDescent="0.25">
      <c r="A34" s="12" t="s">
        <v>17</v>
      </c>
      <c r="B34" s="12">
        <v>6</v>
      </c>
      <c r="C34" s="12" t="s">
        <v>16</v>
      </c>
    </row>
    <row r="35" spans="1:3" x14ac:dyDescent="0.25">
      <c r="A35" s="12" t="s">
        <v>17</v>
      </c>
      <c r="B35" s="11" t="s">
        <v>36</v>
      </c>
      <c r="C35" s="12" t="s">
        <v>16</v>
      </c>
    </row>
    <row r="36" spans="1:3" x14ac:dyDescent="0.25">
      <c r="A36" s="12" t="s">
        <v>17</v>
      </c>
      <c r="B36" s="12">
        <v>13</v>
      </c>
      <c r="C36" s="12" t="s">
        <v>16</v>
      </c>
    </row>
    <row r="37" spans="1:3" x14ac:dyDescent="0.25">
      <c r="A37" s="12" t="s">
        <v>19</v>
      </c>
    </row>
    <row r="39" spans="1:3" x14ac:dyDescent="0.25">
      <c r="A39" s="12" t="s">
        <v>18</v>
      </c>
    </row>
    <row r="40" spans="1:3" x14ac:dyDescent="0.25">
      <c r="A40" s="12" t="s">
        <v>17</v>
      </c>
      <c r="B40" s="12">
        <v>7</v>
      </c>
      <c r="C40" s="12" t="s">
        <v>16</v>
      </c>
    </row>
    <row r="41" spans="1:3" x14ac:dyDescent="0.25">
      <c r="A41" s="12" t="s">
        <v>17</v>
      </c>
      <c r="B41" s="11" t="s">
        <v>3</v>
      </c>
      <c r="C41" s="12" t="s">
        <v>16</v>
      </c>
    </row>
    <row r="42" spans="1:3" x14ac:dyDescent="0.25">
      <c r="A42" s="12" t="s">
        <v>17</v>
      </c>
      <c r="B42" s="12">
        <v>0</v>
      </c>
      <c r="C42" s="12" t="s">
        <v>16</v>
      </c>
    </row>
    <row r="43" spans="1:3" x14ac:dyDescent="0.25">
      <c r="A43" s="12" t="s">
        <v>19</v>
      </c>
    </row>
    <row r="45" spans="1:3" x14ac:dyDescent="0.25">
      <c r="A45" s="12" t="s">
        <v>18</v>
      </c>
    </row>
    <row r="46" spans="1:3" x14ac:dyDescent="0.25">
      <c r="A46" s="12" t="s">
        <v>17</v>
      </c>
      <c r="B46" s="12">
        <v>7</v>
      </c>
      <c r="C46" s="12" t="s">
        <v>16</v>
      </c>
    </row>
    <row r="47" spans="1:3" x14ac:dyDescent="0.25">
      <c r="A47" s="12" t="s">
        <v>17</v>
      </c>
      <c r="B47" s="11" t="s">
        <v>32</v>
      </c>
      <c r="C47" s="12" t="s">
        <v>16</v>
      </c>
    </row>
    <row r="48" spans="1:3" x14ac:dyDescent="0.25">
      <c r="A48" s="12" t="s">
        <v>17</v>
      </c>
      <c r="B48" s="12">
        <v>0</v>
      </c>
      <c r="C48" s="12" t="s">
        <v>16</v>
      </c>
    </row>
    <row r="49" spans="1:3" x14ac:dyDescent="0.25">
      <c r="A49" s="12" t="s">
        <v>19</v>
      </c>
    </row>
    <row r="51" spans="1:3" x14ac:dyDescent="0.25">
      <c r="A51" s="12" t="s">
        <v>18</v>
      </c>
    </row>
    <row r="52" spans="1:3" x14ac:dyDescent="0.25">
      <c r="A52" s="12" t="s">
        <v>17</v>
      </c>
      <c r="B52" s="12">
        <v>7</v>
      </c>
      <c r="C52" s="12" t="s">
        <v>16</v>
      </c>
    </row>
    <row r="53" spans="1:3" x14ac:dyDescent="0.25">
      <c r="A53" s="12" t="s">
        <v>17</v>
      </c>
      <c r="B53" s="11" t="s">
        <v>29</v>
      </c>
      <c r="C53" s="12" t="s">
        <v>16</v>
      </c>
    </row>
    <row r="54" spans="1:3" x14ac:dyDescent="0.25">
      <c r="A54" s="12" t="s">
        <v>17</v>
      </c>
      <c r="B54" s="12">
        <v>0</v>
      </c>
      <c r="C54" s="12" t="s">
        <v>16</v>
      </c>
    </row>
    <row r="55" spans="1:3" x14ac:dyDescent="0.25">
      <c r="A55" s="12" t="s">
        <v>19</v>
      </c>
    </row>
    <row r="57" spans="1:3" x14ac:dyDescent="0.25">
      <c r="A57" s="12" t="s">
        <v>18</v>
      </c>
    </row>
    <row r="58" spans="1:3" x14ac:dyDescent="0.25">
      <c r="A58" s="12" t="s">
        <v>17</v>
      </c>
      <c r="B58" s="12">
        <v>7</v>
      </c>
      <c r="C58" s="12" t="s">
        <v>16</v>
      </c>
    </row>
    <row r="59" spans="1:3" x14ac:dyDescent="0.25">
      <c r="A59" s="12" t="s">
        <v>17</v>
      </c>
      <c r="B59" s="11" t="s">
        <v>34</v>
      </c>
      <c r="C59" s="12" t="s">
        <v>16</v>
      </c>
    </row>
    <row r="60" spans="1:3" x14ac:dyDescent="0.25">
      <c r="A60" s="12" t="s">
        <v>17</v>
      </c>
      <c r="B60" s="12">
        <v>0</v>
      </c>
      <c r="C60" s="12" t="s">
        <v>16</v>
      </c>
    </row>
    <row r="61" spans="1:3" x14ac:dyDescent="0.25">
      <c r="A61" s="12" t="s">
        <v>19</v>
      </c>
    </row>
    <row r="63" spans="1:3" x14ac:dyDescent="0.25">
      <c r="A63" s="12" t="s">
        <v>18</v>
      </c>
    </row>
    <row r="64" spans="1:3" x14ac:dyDescent="0.25">
      <c r="A64" s="12" t="s">
        <v>17</v>
      </c>
      <c r="B64" s="12">
        <v>7</v>
      </c>
      <c r="C64" s="12" t="s">
        <v>16</v>
      </c>
    </row>
    <row r="65" spans="1:3" x14ac:dyDescent="0.25">
      <c r="A65" s="12" t="s">
        <v>17</v>
      </c>
      <c r="B65" s="12" t="s">
        <v>28</v>
      </c>
      <c r="C65" s="12" t="s">
        <v>16</v>
      </c>
    </row>
    <row r="66" spans="1:3" x14ac:dyDescent="0.25">
      <c r="A66" s="12" t="s">
        <v>17</v>
      </c>
      <c r="B66" s="12">
        <v>0</v>
      </c>
      <c r="C66" s="12" t="s">
        <v>16</v>
      </c>
    </row>
    <row r="67" spans="1:3" x14ac:dyDescent="0.25">
      <c r="A67" s="12" t="s">
        <v>19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9E5B-562A-42AE-9C33-51E2237D130B}">
  <dimension ref="C3:K32"/>
  <sheetViews>
    <sheetView workbookViewId="0">
      <selection activeCell="I32" sqref="I32"/>
    </sheetView>
  </sheetViews>
  <sheetFormatPr baseColWidth="10" defaultRowHeight="15" x14ac:dyDescent="0.25"/>
  <cols>
    <col min="3" max="3" width="23.28515625" bestFit="1" customWidth="1"/>
    <col min="4" max="4" width="11.42578125" style="11"/>
    <col min="10" max="11" width="12" customWidth="1"/>
  </cols>
  <sheetData>
    <row r="3" spans="3:11" x14ac:dyDescent="0.25">
      <c r="C3" s="20" t="s">
        <v>40</v>
      </c>
      <c r="D3" s="22" t="s">
        <v>41</v>
      </c>
      <c r="E3" s="22" t="s">
        <v>42</v>
      </c>
      <c r="F3" s="22" t="s">
        <v>43</v>
      </c>
      <c r="G3" s="22" t="s">
        <v>44</v>
      </c>
    </row>
    <row r="4" spans="3:11" x14ac:dyDescent="0.25">
      <c r="C4" s="21" t="s">
        <v>45</v>
      </c>
      <c r="D4" s="11" t="s">
        <v>46</v>
      </c>
      <c r="E4" s="11" t="s">
        <v>47</v>
      </c>
      <c r="F4" s="11" t="s">
        <v>0</v>
      </c>
      <c r="G4" s="11" t="s">
        <v>38</v>
      </c>
      <c r="J4" s="11" t="s">
        <v>70</v>
      </c>
      <c r="K4" t="s">
        <v>71</v>
      </c>
    </row>
    <row r="5" spans="3:11" x14ac:dyDescent="0.25">
      <c r="C5" s="21" t="s">
        <v>48</v>
      </c>
      <c r="D5" s="11" t="s">
        <v>0</v>
      </c>
      <c r="E5" s="11" t="s">
        <v>36</v>
      </c>
      <c r="F5" s="11" t="s">
        <v>46</v>
      </c>
      <c r="G5" s="11"/>
      <c r="J5" s="11" t="s">
        <v>0</v>
      </c>
      <c r="K5">
        <f>COUNTIF(Primero,"=Ely")*3+COUNTIF(Segundo,"=Ely")*2+COUNTIF(Tercero,"=Ely")*1+COUNTIF(Cuarto,"=Ely")*0.5</f>
        <v>43.5</v>
      </c>
    </row>
    <row r="6" spans="3:11" x14ac:dyDescent="0.25">
      <c r="C6" s="21" t="s">
        <v>49</v>
      </c>
      <c r="D6" s="11" t="s">
        <v>37</v>
      </c>
      <c r="E6" s="11" t="s">
        <v>47</v>
      </c>
      <c r="F6" s="11" t="s">
        <v>0</v>
      </c>
      <c r="G6" s="11" t="s">
        <v>38</v>
      </c>
      <c r="J6" s="11" t="s">
        <v>50</v>
      </c>
      <c r="K6">
        <f>COUNTIF(Primero,"=Tati")*3+COUNTIF(Segundo,"=Tati")*2+COUNTIF(Tercero,"=Tati")*1+COUNTIF(Cuarto,"=Tati")*0.5</f>
        <v>42</v>
      </c>
    </row>
    <row r="7" spans="3:11" x14ac:dyDescent="0.25">
      <c r="C7" s="21" t="s">
        <v>51</v>
      </c>
      <c r="D7" s="11" t="s">
        <v>0</v>
      </c>
      <c r="E7" s="11" t="s">
        <v>36</v>
      </c>
      <c r="F7" s="11" t="s">
        <v>46</v>
      </c>
      <c r="G7" s="11" t="s">
        <v>37</v>
      </c>
      <c r="J7" s="11" t="s">
        <v>38</v>
      </c>
      <c r="K7">
        <f>COUNTIF(Primero,"=Oscar")*3+COUNTIF(Segundo,"=Oscar")*2+COUNTIF(Tercero,"=Oscar")*1+COUNTIF(Cuarto,"=Oscar")*0.5</f>
        <v>34</v>
      </c>
    </row>
    <row r="8" spans="3:11" x14ac:dyDescent="0.25">
      <c r="C8" s="21" t="s">
        <v>52</v>
      </c>
      <c r="D8" s="11" t="s">
        <v>0</v>
      </c>
      <c r="E8" s="11" t="s">
        <v>37</v>
      </c>
      <c r="F8" s="11" t="s">
        <v>38</v>
      </c>
      <c r="G8" s="11"/>
      <c r="J8" s="11" t="s">
        <v>47</v>
      </c>
      <c r="K8">
        <f>COUNTIF(Primero,"=Líder")*3+COUNTIF(Segundo,"=Líder")*2+COUNTIF(Tercero,"=Líder")*1+COUNTIF(Cuarto,"=Líder")*0.5</f>
        <v>27</v>
      </c>
    </row>
    <row r="9" spans="3:11" x14ac:dyDescent="0.25">
      <c r="C9" s="21" t="s">
        <v>53</v>
      </c>
      <c r="D9" s="11" t="s">
        <v>0</v>
      </c>
      <c r="E9" s="11" t="s">
        <v>47</v>
      </c>
      <c r="F9" s="11" t="s">
        <v>38</v>
      </c>
      <c r="G9" s="11" t="s">
        <v>46</v>
      </c>
      <c r="J9" s="11" t="s">
        <v>46</v>
      </c>
      <c r="K9">
        <f>COUNTIF(Primero,"=Carlos")*3+COUNTIF(Segundo,"=Carlos")*2+COUNTIF(Tercero,"=Carlos")*1+COUNTIF(Cuarto,"=Carlos")*0.5</f>
        <v>25.5</v>
      </c>
    </row>
    <row r="10" spans="3:11" x14ac:dyDescent="0.25">
      <c r="C10" s="21" t="s">
        <v>53</v>
      </c>
      <c r="D10" s="11" t="s">
        <v>47</v>
      </c>
      <c r="E10" s="11" t="s">
        <v>0</v>
      </c>
      <c r="F10" s="11" t="s">
        <v>38</v>
      </c>
      <c r="G10" s="11"/>
      <c r="J10" s="11" t="s">
        <v>36</v>
      </c>
      <c r="K10">
        <f>COUNTIF(Primero,"=Marce")*3+COUNTIF(Segundo,"=Marce")*2+COUNTIF(Tercero,"=Marce")*1+COUNTIF(Cuarto,"=Marce")*0.5</f>
        <v>13</v>
      </c>
    </row>
    <row r="11" spans="3:11" x14ac:dyDescent="0.25">
      <c r="C11" s="21" t="s">
        <v>54</v>
      </c>
      <c r="D11" s="11" t="s">
        <v>47</v>
      </c>
      <c r="E11" s="11" t="s">
        <v>0</v>
      </c>
      <c r="F11" s="11" t="s">
        <v>37</v>
      </c>
      <c r="G11" s="11" t="s">
        <v>38</v>
      </c>
      <c r="J11" s="11" t="s">
        <v>66</v>
      </c>
      <c r="K11">
        <f>COUNTIF(Primero,"=Claudia")*3+COUNTIF(Segundo,"=Claudia")*2+COUNTIF(Tercero,"=Claudia")*1+COUNTIF(Cuarto,"=Claudia")*0.5</f>
        <v>0</v>
      </c>
    </row>
    <row r="12" spans="3:11" x14ac:dyDescent="0.25">
      <c r="C12" s="21" t="s">
        <v>55</v>
      </c>
      <c r="D12" s="11" t="s">
        <v>37</v>
      </c>
      <c r="E12" s="11" t="s">
        <v>46</v>
      </c>
      <c r="F12" s="11" t="s">
        <v>38</v>
      </c>
      <c r="G12" s="11" t="s">
        <v>0</v>
      </c>
      <c r="J12" s="11" t="s">
        <v>67</v>
      </c>
      <c r="K12">
        <f>COUNTIF(Primero,"=Yeni")*3+COUNTIF(Segundo,"=Yeni")*2+COUNTIF(Tercero,"=Yeni")*1+COUNTIF(Cuarto,"=Yeni")*0.5</f>
        <v>0</v>
      </c>
    </row>
    <row r="13" spans="3:11" x14ac:dyDescent="0.25">
      <c r="C13" s="21" t="s">
        <v>56</v>
      </c>
      <c r="D13" s="11" t="s">
        <v>46</v>
      </c>
      <c r="E13" s="11" t="s">
        <v>38</v>
      </c>
      <c r="F13" s="11" t="s">
        <v>0</v>
      </c>
      <c r="G13" s="11" t="s">
        <v>37</v>
      </c>
      <c r="J13" s="11" t="s">
        <v>3</v>
      </c>
      <c r="K13">
        <f>COUNTIF(Primero,"=Andrés")*3+COUNTIF(Segundo,"=Andrés")*2+COUNTIF(Tercero,"=Andrés")*1+COUNTIF(Cuarto,"=Andrés")*0.5</f>
        <v>0</v>
      </c>
    </row>
    <row r="14" spans="3:11" x14ac:dyDescent="0.25">
      <c r="C14" s="21" t="s">
        <v>57</v>
      </c>
      <c r="D14" s="11" t="s">
        <v>37</v>
      </c>
      <c r="E14" s="11" t="s">
        <v>38</v>
      </c>
      <c r="F14" s="11" t="s">
        <v>0</v>
      </c>
      <c r="G14" s="11" t="s">
        <v>47</v>
      </c>
      <c r="J14" s="11" t="s">
        <v>68</v>
      </c>
      <c r="K14">
        <f>COUNTIF(Primero,"=Erik")*3+COUNTIF(Segundo,"=Erik")*2+COUNTIF(Tercero,"=Erik")*1+COUNTIF(Cuarto,"=Erik")*0.5</f>
        <v>0</v>
      </c>
    </row>
    <row r="15" spans="3:11" x14ac:dyDescent="0.25">
      <c r="C15" s="21" t="s">
        <v>58</v>
      </c>
      <c r="D15" s="11" t="s">
        <v>47</v>
      </c>
      <c r="E15" s="11" t="s">
        <v>37</v>
      </c>
      <c r="F15" s="11" t="s">
        <v>36</v>
      </c>
      <c r="G15" s="11" t="s">
        <v>0</v>
      </c>
      <c r="J15" s="11" t="s">
        <v>69</v>
      </c>
      <c r="K15">
        <f>COUNTIF(Primero,"=Chalo")*3+COUNTIF(Segundo,"=Chalo")*2+COUNTIF(Tercero,"=Chalo")*1+COUNTIF(Cuarto,"=Chalo")*0.5</f>
        <v>0</v>
      </c>
    </row>
    <row r="16" spans="3:11" x14ac:dyDescent="0.25">
      <c r="C16" s="21" t="s">
        <v>59</v>
      </c>
      <c r="D16" s="11" t="s">
        <v>37</v>
      </c>
      <c r="E16" s="11" t="s">
        <v>38</v>
      </c>
      <c r="F16" s="11" t="s">
        <v>47</v>
      </c>
      <c r="G16" s="11" t="s">
        <v>0</v>
      </c>
    </row>
    <row r="17" spans="3:7" x14ac:dyDescent="0.25">
      <c r="C17" s="21" t="s">
        <v>60</v>
      </c>
      <c r="D17" s="11" t="s">
        <v>47</v>
      </c>
      <c r="E17" s="11" t="s">
        <v>38</v>
      </c>
      <c r="F17" s="11" t="s">
        <v>37</v>
      </c>
      <c r="G17" s="11" t="s">
        <v>0</v>
      </c>
    </row>
    <row r="18" spans="3:7" x14ac:dyDescent="0.25">
      <c r="C18" s="21" t="s">
        <v>60</v>
      </c>
      <c r="D18" s="11" t="s">
        <v>36</v>
      </c>
      <c r="E18" s="11" t="s">
        <v>0</v>
      </c>
      <c r="F18" s="11" t="s">
        <v>47</v>
      </c>
      <c r="G18" s="11" t="s">
        <v>37</v>
      </c>
    </row>
    <row r="19" spans="3:7" x14ac:dyDescent="0.25">
      <c r="C19" s="21" t="s">
        <v>61</v>
      </c>
      <c r="D19" s="11" t="s">
        <v>47</v>
      </c>
      <c r="E19" s="11" t="s">
        <v>38</v>
      </c>
      <c r="F19" s="11" t="s">
        <v>46</v>
      </c>
      <c r="G19" s="11"/>
    </row>
    <row r="20" spans="3:7" x14ac:dyDescent="0.25">
      <c r="C20" s="21" t="s">
        <v>39</v>
      </c>
      <c r="D20" s="11" t="s">
        <v>38</v>
      </c>
      <c r="E20" s="11" t="s">
        <v>0</v>
      </c>
      <c r="F20" s="11" t="s">
        <v>37</v>
      </c>
      <c r="G20" s="11"/>
    </row>
    <row r="21" spans="3:7" x14ac:dyDescent="0.25">
      <c r="C21" s="21" t="s">
        <v>62</v>
      </c>
      <c r="D21" s="11" t="s">
        <v>37</v>
      </c>
      <c r="E21" s="11" t="s">
        <v>0</v>
      </c>
      <c r="F21" s="11" t="s">
        <v>38</v>
      </c>
      <c r="G21" s="11"/>
    </row>
    <row r="22" spans="3:7" x14ac:dyDescent="0.25">
      <c r="C22" s="21" t="s">
        <v>63</v>
      </c>
      <c r="D22" s="11" t="s">
        <v>47</v>
      </c>
      <c r="E22" s="11" t="s">
        <v>37</v>
      </c>
      <c r="F22" s="11" t="s">
        <v>38</v>
      </c>
      <c r="G22" s="11" t="s">
        <v>0</v>
      </c>
    </row>
    <row r="23" spans="3:7" x14ac:dyDescent="0.25">
      <c r="C23" s="21" t="s">
        <v>63</v>
      </c>
      <c r="D23" s="11" t="s">
        <v>46</v>
      </c>
      <c r="E23" s="11" t="s">
        <v>37</v>
      </c>
      <c r="F23" s="11" t="s">
        <v>38</v>
      </c>
      <c r="G23" s="11" t="s">
        <v>0</v>
      </c>
    </row>
    <row r="24" spans="3:7" x14ac:dyDescent="0.25">
      <c r="C24" s="21" t="s">
        <v>64</v>
      </c>
      <c r="D24" s="11" t="s">
        <v>46</v>
      </c>
      <c r="E24" s="11" t="s">
        <v>37</v>
      </c>
      <c r="F24" s="11" t="s">
        <v>0</v>
      </c>
      <c r="G24" s="11"/>
    </row>
    <row r="25" spans="3:7" x14ac:dyDescent="0.25">
      <c r="C25" s="21" t="s">
        <v>65</v>
      </c>
      <c r="D25" s="11" t="s">
        <v>36</v>
      </c>
      <c r="E25" s="11" t="s">
        <v>38</v>
      </c>
      <c r="F25" s="11" t="s">
        <v>37</v>
      </c>
      <c r="G25" s="11" t="s">
        <v>0</v>
      </c>
    </row>
    <row r="26" spans="3:7" x14ac:dyDescent="0.25">
      <c r="C26" s="21" t="s">
        <v>65</v>
      </c>
      <c r="D26" s="11" t="s">
        <v>0</v>
      </c>
      <c r="E26" s="11" t="s">
        <v>37</v>
      </c>
      <c r="F26" s="11" t="s">
        <v>36</v>
      </c>
      <c r="G26" s="11" t="s">
        <v>38</v>
      </c>
    </row>
    <row r="27" spans="3:7" x14ac:dyDescent="0.25">
      <c r="C27" s="21" t="s">
        <v>65</v>
      </c>
      <c r="D27" s="11" t="s">
        <v>37</v>
      </c>
      <c r="E27" s="11" t="s">
        <v>38</v>
      </c>
      <c r="F27" s="11" t="s">
        <v>36</v>
      </c>
      <c r="G27" s="11" t="s">
        <v>0</v>
      </c>
    </row>
    <row r="28" spans="3:7" x14ac:dyDescent="0.25">
      <c r="C28" s="21" t="s">
        <v>65</v>
      </c>
      <c r="D28" s="11" t="s">
        <v>38</v>
      </c>
      <c r="E28" s="11" t="s">
        <v>0</v>
      </c>
      <c r="F28" s="11" t="s">
        <v>46</v>
      </c>
      <c r="G28" s="11" t="s">
        <v>47</v>
      </c>
    </row>
    <row r="29" spans="3:7" x14ac:dyDescent="0.25">
      <c r="C29" s="21" t="s">
        <v>72</v>
      </c>
      <c r="D29" s="11" t="s">
        <v>37</v>
      </c>
      <c r="E29" s="11" t="s">
        <v>46</v>
      </c>
      <c r="F29" s="11" t="s">
        <v>38</v>
      </c>
      <c r="G29" s="11" t="s">
        <v>0</v>
      </c>
    </row>
    <row r="30" spans="3:7" x14ac:dyDescent="0.25">
      <c r="C30" s="21" t="s">
        <v>72</v>
      </c>
      <c r="D30" s="11" t="s">
        <v>0</v>
      </c>
      <c r="E30" s="11" t="s">
        <v>37</v>
      </c>
      <c r="F30" s="11" t="s">
        <v>46</v>
      </c>
      <c r="G30" s="11" t="s">
        <v>38</v>
      </c>
    </row>
    <row r="31" spans="3:7" x14ac:dyDescent="0.25">
      <c r="C31" s="21" t="s">
        <v>73</v>
      </c>
      <c r="D31" s="11" t="s">
        <v>38</v>
      </c>
      <c r="E31" s="11" t="s">
        <v>0</v>
      </c>
      <c r="F31" s="11" t="s">
        <v>46</v>
      </c>
      <c r="G31" s="11" t="s">
        <v>37</v>
      </c>
    </row>
    <row r="32" spans="3:7" x14ac:dyDescent="0.25">
      <c r="C32" s="21" t="s">
        <v>73</v>
      </c>
      <c r="D32" s="11" t="s">
        <v>46</v>
      </c>
      <c r="E32" s="11" t="s">
        <v>0</v>
      </c>
      <c r="F32" s="11" t="s">
        <v>37</v>
      </c>
      <c r="G32" s="11" t="s">
        <v>38</v>
      </c>
    </row>
  </sheetData>
  <dataValidations count="1">
    <dataValidation type="list" allowBlank="1" showInputMessage="1" showErrorMessage="1" sqref="D4:D36" xr:uid="{70D0AC63-7CA2-462D-B2E2-1DD2D2E30BF1}">
      <formula1>$D$4:$D$36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15</vt:i4>
      </vt:variant>
    </vt:vector>
  </HeadingPairs>
  <TitlesOfParts>
    <vt:vector size="20" baseType="lpstr">
      <vt:lpstr>Hoja1</vt:lpstr>
      <vt:lpstr>Hoja2</vt:lpstr>
      <vt:lpstr>Hoja3</vt:lpstr>
      <vt:lpstr>Codigo</vt:lpstr>
      <vt:lpstr>Seguimineto</vt:lpstr>
      <vt:lpstr>Andrés</vt:lpstr>
      <vt:lpstr>Carlos</vt:lpstr>
      <vt:lpstr>Chalo</vt:lpstr>
      <vt:lpstr>Claudia</vt:lpstr>
      <vt:lpstr>Seguimineto!Cuarto</vt:lpstr>
      <vt:lpstr>Ely</vt:lpstr>
      <vt:lpstr>Erik</vt:lpstr>
      <vt:lpstr>Líder</vt:lpstr>
      <vt:lpstr>Marce</vt:lpstr>
      <vt:lpstr>Oscar</vt:lpstr>
      <vt:lpstr>Seguimineto!Primero</vt:lpstr>
      <vt:lpstr>Seguimineto!Segundo</vt:lpstr>
      <vt:lpstr>TAti</vt:lpstr>
      <vt:lpstr>Seguimineto!Tercero</vt:lpstr>
      <vt:lpstr>Yeni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Pinedo</dc:creator>
  <cp:lastModifiedBy>oscar Pinedo</cp:lastModifiedBy>
  <cp:lastPrinted>2024-04-15T19:59:53Z</cp:lastPrinted>
  <dcterms:created xsi:type="dcterms:W3CDTF">2015-06-05T18:19:34Z</dcterms:created>
  <dcterms:modified xsi:type="dcterms:W3CDTF">2024-09-27T18:15:42Z</dcterms:modified>
</cp:coreProperties>
</file>