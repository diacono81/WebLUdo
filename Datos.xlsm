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E40787FD-D5CF-4569-8A73-C68057FCAE72}" xr6:coauthVersionLast="47" xr6:coauthVersionMax="47" xr10:uidLastSave="{00000000-0000-0000-0000-000000000000}"/>
  <bookViews>
    <workbookView xWindow="120" yWindow="1725" windowWidth="24330" windowHeight="1309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Seguimineto!$D$4:$D$40</definedName>
    <definedName name="Segundo" localSheetId="4">Seguimineto!$E$4:$E$40</definedName>
    <definedName name="TAti">Seguimineto!$K$6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3" i="1" s="1"/>
  <c r="K12" i="6"/>
  <c r="D15" i="1" s="1"/>
  <c r="K11" i="6"/>
  <c r="D14" i="1" s="1"/>
  <c r="K10" i="6"/>
  <c r="K9" i="6"/>
  <c r="K8" i="6"/>
  <c r="K7" i="6"/>
  <c r="K6" i="6"/>
  <c r="K5" i="6"/>
</calcChain>
</file>

<file path=xl/sharedStrings.xml><?xml version="1.0" encoding="utf-8"?>
<sst xmlns="http://schemas.openxmlformats.org/spreadsheetml/2006/main" count="349" uniqueCount="78">
  <si>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</si>
  <si>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</si>
  <si>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</si>
  <si>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</si>
  <si>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</si>
  <si>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</si>
  <si>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</si>
  <si>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</si>
  <si>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</si>
  <si>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</si>
  <si>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</si>
  <si>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</si>
  <si>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</si>
  <si>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</si>
  <si>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</si>
  <si>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</si>
  <si>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</si>
  <si>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</si>
  <si>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</si>
  <si>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</si>
  <si>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</si>
  <si>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</si>
  <si>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</si>
  <si>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</si>
  <si>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</si>
  <si>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</si>
  <si>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</si>
  <si>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</si>
  <si>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</si>
  <si>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</si>
  <si>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</si>
  <si>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</si>
  <si>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</si>
  <si>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</si>
  <si>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</si>
  <si>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</si>
  <si>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</si>
  <si>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</si>
  <si>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</si>
  <si>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</si>
  <si>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</si>
  <si>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</si>
  <si>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</si>
  <si>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</si>
  <si>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</si>
  <si>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</si>
  <si>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</si>
  <si>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</si>
  <si>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</si>
  <si>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</si>
  <si>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</si>
  <si>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</si>
  <si>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</si>
  <si>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</si>
  <si>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</si>
  <si>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</si>
  <si>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</si>
  <si>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</si>
  <si>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</si>
  <si>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</si>
  <si>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</si>
  <si>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</si>
  <si>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</si>
  <si>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</si>
  <si>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</si>
  <si>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</si>
  <si>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</si>
  <si>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</si>
  <si>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</si>
  <si>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</si>
  <si>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</si>
  <si>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</si>
  <si>
    <t>Miercoles 25 Septiembre</t>
  </si>
  <si>
    <t>Jueves 26 Septiembre</t>
  </si>
  <si>
    <t>Viernes 27 Septiembre</t>
  </si>
  <si>
    <t>Sábado 28 Septiembre</t>
  </si>
  <si>
    <t>Domingo 29 Septiembre</t>
  </si>
  <si>
    <t>Lunes 30 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</si>
</sst>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62.5</v>
      </c>
    </row>
    <row r="8" spans="1:4" ht="16.5" x14ac:dyDescent="0.25">
      <c r="B8" s="16" t="s">
        <v>25</v>
      </c>
      <c r="C8" s="10" t="s">
        <v>35</v>
      </c>
      <c r="D8" s="10">
        <v>47.5</v>
      </c>
    </row>
    <row r="9" spans="1:4" ht="16.5" x14ac:dyDescent="0.25">
      <c r="B9" s="16" t="s">
        <v>26</v>
      </c>
      <c r="C9" s="10" t="s">
        <v>31</v>
      </c>
      <c r="D9" s="10">
        <v>42.5</v>
      </c>
    </row>
    <row r="10" spans="1:4" ht="16.5" x14ac:dyDescent="0.25">
      <c r="B10" s="18">
        <v>4</v>
      </c>
      <c r="C10" s="10" t="s">
        <v>27</v>
      </c>
      <c r="D10" s="10">
        <v>38</v>
      </c>
    </row>
    <row r="11" spans="1:4" ht="16.5" x14ac:dyDescent="0.25">
      <c r="B11" s="18">
        <v>5</v>
      </c>
      <c r="C11" s="17" t="s">
        <v>30</v>
      </c>
      <c r="D11" s="10">
        <v>33.5</v>
      </c>
    </row>
    <row r="12" spans="1:4" ht="16.5" x14ac:dyDescent="0.25">
      <c r="B12" s="18">
        <v>6</v>
      </c>
      <c r="C12" s="10" t="s">
        <v>36</v>
      </c>
      <c r="D12" s="10">
        <v>13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62.5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35</v>
      </c>
      <c r="C11" s="12" t="s">
        <v>16</v>
      </c>
    </row>
    <row r="12" spans="1:3" x14ac:dyDescent="0.25">
      <c r="A12" s="12" t="s">
        <v>17</v>
      </c>
      <c r="B12" s="12">
        <v>47.5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42.5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38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33.5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workbookViewId="0">
      <selection activeCell="H35" sqref="H35"/>
    </sheetView>
  </sheetViews>
  <sheetFormatPr baseColWidth="10" defaultRowHeight="15" x14ac:dyDescent="0.25"/>
  <cols>
    <col min="3" max="3" width="23.28515625" bestFit="1" customWidth="1"/>
    <col min="4" max="4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1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1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0</v>
      </c>
      <c r="K5">
        <f>COUNTIF(Primero,"=Ely")*3+COUNTIF(Segundo,"=Ely")*2+COUNTIF(Tercero,"=Ely")*1+COUNTIF(Cuarto,"=Ely")*0.5</f>
        <v>62.5</v>
      </c>
    </row>
    <row r="6" spans="3:11" x14ac:dyDescent="0.25">
      <c r="C6" s="21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50</v>
      </c>
      <c r="K6">
        <f>COUNTIF(Primero,"=Tati")*3+COUNTIF(Segundo,"=Tati")*2+COUNTIF(Tercero,"=Tati")*1+COUNTIF(Cuarto,"=Tati")*0.5</f>
        <v>47.5</v>
      </c>
    </row>
    <row r="7" spans="3:11" x14ac:dyDescent="0.25">
      <c r="C7" s="21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38</v>
      </c>
      <c r="K7">
        <f>COUNTIF(Primero,"=Oscar")*3+COUNTIF(Segundo,"=Oscar")*2+COUNTIF(Tercero,"=Oscar")*1+COUNTIF(Cuarto,"=Oscar")*0.5</f>
        <v>42.5</v>
      </c>
    </row>
    <row r="8" spans="3:11" x14ac:dyDescent="0.25">
      <c r="C8" s="21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47</v>
      </c>
      <c r="K8">
        <f>COUNTIF(Primero,"=Líder")*3+COUNTIF(Segundo,"=Líder")*2+COUNTIF(Tercero,"=Líder")*1+COUNTIF(Cuarto,"=Líder")*0.5</f>
        <v>38</v>
      </c>
    </row>
    <row r="9" spans="3:11" x14ac:dyDescent="0.25">
      <c r="C9" s="21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COUNTIF(Primero,"=Carlos")*3+COUNTIF(Segundo,"=Carlos")*2+COUNTIF(Tercero,"=Carlos")*1+COUNTIF(Cuarto,"=Carlos")*0.5</f>
        <v>33.5</v>
      </c>
    </row>
    <row r="10" spans="3:11" x14ac:dyDescent="0.25">
      <c r="C10" s="21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COUNTIF(Primero,"=Marce")*3+COUNTIF(Segundo,"=Marce")*2+COUNTIF(Tercero,"=Marce")*1+COUNTIF(Cuarto,"=Marce")*0.5</f>
        <v>13</v>
      </c>
    </row>
    <row r="11" spans="3:11" x14ac:dyDescent="0.25">
      <c r="C11" s="21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1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COUNTIF(Primero,"=Yeni")*3+COUNTIF(Segundo,"=Yeni")*2+COUNTIF(Tercero,"=Yeni")*1+COUNTIF(Cuarto,"=Yeni")*0.5</f>
        <v>0</v>
      </c>
    </row>
    <row r="13" spans="3:11" x14ac:dyDescent="0.25">
      <c r="C13" s="21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1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COUNTIF(Primero,"=Erik")*3+COUNTIF(Segundo,"=Erik")*2+COUNTIF(Tercero,"=Erik")*1+COUNTIF(Cuarto,"=Erik")*0.5</f>
        <v>0</v>
      </c>
    </row>
    <row r="15" spans="3:11" x14ac:dyDescent="0.25">
      <c r="C15" s="21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COUNTIF(Primero,"=Chalo")*3+COUNTIF(Segundo,"=Chalo")*2+COUNTIF(Tercero,"=Chalo")*1+COUNTIF(Cuarto,"=Chalo")*0.5</f>
        <v>0</v>
      </c>
    </row>
    <row r="16" spans="3:11" x14ac:dyDescent="0.25">
      <c r="C16" s="21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1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1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1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1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1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1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1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1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1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1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1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  <row r="28" spans="3:7" x14ac:dyDescent="0.25">
      <c r="C28" s="21" t="s">
        <v>65</v>
      </c>
      <c r="D28" s="11" t="s">
        <v>38</v>
      </c>
      <c r="E28" s="11" t="s">
        <v>0</v>
      </c>
      <c r="F28" s="11" t="s">
        <v>46</v>
      </c>
      <c r="G28" s="11" t="s">
        <v>47</v>
      </c>
    </row>
    <row r="29" spans="3:7" x14ac:dyDescent="0.25">
      <c r="C29" s="21" t="s">
        <v>72</v>
      </c>
      <c r="D29" s="11" t="s">
        <v>37</v>
      </c>
      <c r="E29" s="11" t="s">
        <v>46</v>
      </c>
      <c r="F29" s="11" t="s">
        <v>38</v>
      </c>
      <c r="G29" s="11" t="s">
        <v>0</v>
      </c>
    </row>
    <row r="30" spans="3:7" x14ac:dyDescent="0.25">
      <c r="C30" s="21" t="s">
        <v>72</v>
      </c>
      <c r="D30" s="11" t="s">
        <v>0</v>
      </c>
      <c r="E30" s="11" t="s">
        <v>37</v>
      </c>
      <c r="F30" s="11" t="s">
        <v>46</v>
      </c>
      <c r="G30" s="11" t="s">
        <v>38</v>
      </c>
    </row>
    <row r="31" spans="3:7" x14ac:dyDescent="0.25">
      <c r="C31" s="21" t="s">
        <v>73</v>
      </c>
      <c r="D31" s="11" t="s">
        <v>38</v>
      </c>
      <c r="E31" s="11" t="s">
        <v>0</v>
      </c>
      <c r="F31" s="11" t="s">
        <v>46</v>
      </c>
      <c r="G31" s="11" t="s">
        <v>37</v>
      </c>
    </row>
    <row r="32" spans="3:7" x14ac:dyDescent="0.25">
      <c r="C32" s="21" t="s">
        <v>73</v>
      </c>
      <c r="D32" s="11" t="s">
        <v>46</v>
      </c>
      <c r="E32" s="11" t="s">
        <v>0</v>
      </c>
      <c r="F32" s="11" t="s">
        <v>37</v>
      </c>
      <c r="G32" s="11" t="s">
        <v>38</v>
      </c>
    </row>
    <row r="33" spans="3:7" x14ac:dyDescent="0.25">
      <c r="C33" s="21" t="s">
        <v>74</v>
      </c>
      <c r="D33" s="11" t="s">
        <v>0</v>
      </c>
      <c r="E33" s="11" t="s">
        <v>38</v>
      </c>
      <c r="F33" s="11" t="s">
        <v>46</v>
      </c>
      <c r="G33" s="11" t="s">
        <v>37</v>
      </c>
    </row>
    <row r="34" spans="3:7" x14ac:dyDescent="0.25">
      <c r="C34" s="21" t="s">
        <v>74</v>
      </c>
      <c r="D34" s="11" t="s">
        <v>38</v>
      </c>
      <c r="E34" s="11" t="s">
        <v>37</v>
      </c>
      <c r="F34" s="11" t="s">
        <v>0</v>
      </c>
      <c r="G34" s="11" t="s">
        <v>46</v>
      </c>
    </row>
    <row r="35" spans="3:7" x14ac:dyDescent="0.25">
      <c r="C35" s="21" t="s">
        <v>75</v>
      </c>
      <c r="D35" s="11" t="s">
        <v>47</v>
      </c>
      <c r="E35" s="11" t="s">
        <v>0</v>
      </c>
      <c r="F35" s="11" t="s">
        <v>38</v>
      </c>
      <c r="G35" s="11" t="s">
        <v>46</v>
      </c>
    </row>
    <row r="36" spans="3:7" x14ac:dyDescent="0.25">
      <c r="C36" s="21" t="s">
        <v>75</v>
      </c>
      <c r="D36" s="11" t="s">
        <v>0</v>
      </c>
      <c r="E36" s="11" t="s">
        <v>46</v>
      </c>
      <c r="F36" s="11" t="s">
        <v>38</v>
      </c>
      <c r="G36" s="11" t="s">
        <v>47</v>
      </c>
    </row>
    <row r="37" spans="3:7" x14ac:dyDescent="0.25">
      <c r="C37" s="21" t="s">
        <v>76</v>
      </c>
      <c r="D37" s="11" t="s">
        <v>0</v>
      </c>
      <c r="E37" s="11" t="s">
        <v>47</v>
      </c>
      <c r="F37" s="11" t="s">
        <v>46</v>
      </c>
      <c r="G37" s="11" t="s">
        <v>38</v>
      </c>
    </row>
    <row r="38" spans="3:7" x14ac:dyDescent="0.25">
      <c r="C38" s="21" t="s">
        <v>76</v>
      </c>
      <c r="D38" s="11" t="s">
        <v>0</v>
      </c>
      <c r="E38" s="11" t="s">
        <v>47</v>
      </c>
      <c r="F38" s="11" t="s">
        <v>46</v>
      </c>
      <c r="G38" s="11" t="s">
        <v>38</v>
      </c>
    </row>
    <row r="39" spans="3:7" x14ac:dyDescent="0.25">
      <c r="C39" s="21" t="s">
        <v>77</v>
      </c>
      <c r="D39" s="11" t="s">
        <v>47</v>
      </c>
      <c r="E39" s="11" t="s">
        <v>0</v>
      </c>
      <c r="F39" s="11" t="s">
        <v>46</v>
      </c>
      <c r="G39" s="11" t="s">
        <v>38</v>
      </c>
    </row>
    <row r="40" spans="3:7" x14ac:dyDescent="0.25">
      <c r="C40" s="21" t="s">
        <v>77</v>
      </c>
      <c r="D40" s="11" t="s">
        <v>37</v>
      </c>
      <c r="E40" s="11" t="s">
        <v>0</v>
      </c>
      <c r="F40" s="11" t="s">
        <v>46</v>
      </c>
      <c r="G40" s="11" t="s">
        <v>47</v>
      </c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2024-10-01T16:12:12Z</dcterms:modified>
</cp:coreProperties>
</file>